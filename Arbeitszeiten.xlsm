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8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9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0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1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12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mhw-my.sharepoint.com/personal/andre_burke_hmhw_com/Documents/Documents/Notes/"/>
    </mc:Choice>
  </mc:AlternateContent>
  <xr:revisionPtr revIDLastSave="1308" documentId="8_{4067AB5E-DC86-4B4B-9BD3-C5B9402748DD}" xr6:coauthVersionLast="47" xr6:coauthVersionMax="47" xr10:uidLastSave="{CA831B53-2421-4A60-B917-1A0C9ACA8C77}"/>
  <bookViews>
    <workbookView xWindow="7950" yWindow="11445" windowWidth="21195" windowHeight="13500" tabRatio="897" xr2:uid="{7371F411-33A1-4F89-A139-72E0238EDCF4}"/>
  </bookViews>
  <sheets>
    <sheet name="Timetable" sheetId="32" r:id="rId1"/>
    <sheet name="mobiles Arbeiten" sheetId="10" r:id="rId2"/>
    <sheet name="TimetableSettings" sheetId="33" r:id="rId3"/>
    <sheet name="Stunden" sheetId="15" r:id="rId4"/>
    <sheet name="Statistik" sheetId="7" r:id="rId5"/>
    <sheet name="TaskNEU" sheetId="16" r:id="rId6"/>
    <sheet name="Planung Abwesenheiten" sheetId="9" r:id="rId7"/>
    <sheet name="pers. Daten" sheetId="2" r:id="rId8"/>
    <sheet name="Januar" sheetId="22" r:id="rId9"/>
    <sheet name="Februar" sheetId="21" r:id="rId10"/>
    <sheet name="April" sheetId="23" r:id="rId11"/>
    <sheet name="März" sheetId="20" r:id="rId12"/>
    <sheet name="Mai" sheetId="24" r:id="rId13"/>
    <sheet name="Juni" sheetId="25" r:id="rId14"/>
    <sheet name="Juli" sheetId="26" r:id="rId15"/>
    <sheet name="August" sheetId="27" r:id="rId16"/>
    <sheet name="September" sheetId="28" r:id="rId17"/>
    <sheet name="Oktober" sheetId="29" r:id="rId18"/>
    <sheet name="November" sheetId="30" r:id="rId19"/>
    <sheet name="Dezember" sheetId="31" r:id="rId20"/>
  </sheets>
  <externalReferences>
    <externalReference r:id="rId21"/>
    <externalReference r:id="rId22"/>
  </externalReferences>
  <definedNames>
    <definedName name="_xlnm._FilterDatabase" localSheetId="3" hidden="1">Stunden!$B$31:$AF$31</definedName>
    <definedName name="_xleta.IF" hidden="1" xlm="1">#NAME?</definedName>
    <definedName name="_xleta.ISBLANK" hidden="1" xlm="1">#NAME?</definedName>
    <definedName name="_xleta.SUM" hidden="1" xlm="1">#NAME?</definedName>
    <definedName name="_xleta.TEXT" hidden="1" xlm="1">#NAME?</definedName>
    <definedName name="_xlpm.end" hidden="1" xlm="1">#NAME?</definedName>
    <definedName name="_xlpm.o" hidden="1" xlm="1">#NAME?</definedName>
    <definedName name="_xlpm.ov" hidden="1" xlm="1">#NAME?</definedName>
    <definedName name="_xlpm.ove" hidden="1" xlm="1">#NAME?</definedName>
    <definedName name="_xlpm.over" hidden="1" xlm="1">#NAME?</definedName>
    <definedName name="_xlpm.overD" hidden="1" xlm="1">#NAME?</definedName>
    <definedName name="_xlpm.overDa" hidden="1" xlm="1">#NAME?</definedName>
    <definedName name="_xlpm.overDay" hidden="1" xlm="1">#NAME?</definedName>
    <definedName name="_xlpm.overDays" hidden="1" xlm="1">#NAME?</definedName>
    <definedName name="_xlpm.overHours" hidden="1" xlm="1">#NAME?</definedName>
    <definedName name="_xlpm.range" hidden="1" xlm="1">#NAME?</definedName>
    <definedName name="_xlpm.start" hidden="1" xlm="1">#NAME?</definedName>
    <definedName name="_xlpm.sum" hidden="1" xlm="1">#NAME?</definedName>
    <definedName name="_xlpm.text" hidden="1" xlm="1">#NAME?</definedName>
    <definedName name="_xlpm.v" hidden="1" xlm="1">#NAME?</definedName>
    <definedName name="_xlpm.vo" hidden="1" xlm="1">#NAME?</definedName>
    <definedName name="_xlpm.voe" hidden="1" xlm="1">#NAME?</definedName>
    <definedName name="_xlpm.voer" hidden="1" xlm="1">#NAME?</definedName>
    <definedName name="_xlpm.weeklyHoursEnd" hidden="1" xlm="1">#NAME?</definedName>
    <definedName name="_xlpm.weeklyHoursRange" hidden="1" xlm="1">#NAME?</definedName>
    <definedName name="_xlpm.weeklyHoursStart" hidden="1" xlm="1">#NAME?</definedName>
    <definedName name="_xlpm.weeklyHoursSum" hidden="1" xlm="1">#NAME?</definedName>
    <definedName name="CostCenter" localSheetId="3">'[1]pers. data'!$C$3</definedName>
    <definedName name="CostCenter">'[2]pers. data'!$C$3</definedName>
    <definedName name="CostCenter2">'[2]pers. data'!$C$3</definedName>
    <definedName name="DayHrs" localSheetId="3">'[1]pers. data'!$C$4</definedName>
    <definedName name="DayHrs">'[2]pers. data'!$C$4</definedName>
    <definedName name="DayHRSH">'[1]pers. data'!$C$4</definedName>
    <definedName name="DynTask" localSheetId="5">TaskNEU!$A$1:$E$36</definedName>
    <definedName name="DynTask">#REF!</definedName>
    <definedName name="fgg">#REF!</definedName>
    <definedName name="MonTag1" localSheetId="3">'[1]pers. data'!$C$6</definedName>
    <definedName name="MonTag1">'[2]pers. data'!$C$6</definedName>
    <definedName name="PauseFr">'[2]pers. data'!$C$8</definedName>
    <definedName name="PauseWD">'[2]pers. data'!$C$7</definedName>
    <definedName name="PersNr" localSheetId="3">'[1]pers. data'!$C$2</definedName>
    <definedName name="PersNr">'[2]pers. data'!$C$2</definedName>
    <definedName name="_xlnm.Print_Area" localSheetId="10">April!$A$1:$H$48</definedName>
    <definedName name="_xlnm.Print_Area" localSheetId="15">August!$A$1:$H$48</definedName>
    <definedName name="_xlnm.Print_Area" localSheetId="19">Dezember!$A$1:$H$48</definedName>
    <definedName name="_xlnm.Print_Area" localSheetId="9">Februar!$A$1:$H$48</definedName>
    <definedName name="_xlnm.Print_Area" localSheetId="8">Januar!$A$1:$H$48</definedName>
    <definedName name="_xlnm.Print_Area" localSheetId="14">Juli!$A$1:$H$48</definedName>
    <definedName name="_xlnm.Print_Area" localSheetId="13">Juni!$A$1:$H$48</definedName>
    <definedName name="_xlnm.Print_Area" localSheetId="12">Mai!$A$1:$H$48</definedName>
    <definedName name="_xlnm.Print_Area" localSheetId="11">März!$A$1:$H$48</definedName>
    <definedName name="_xlnm.Print_Area" localSheetId="18">November!$A$1:$H$48</definedName>
    <definedName name="_xlnm.Print_Area" localSheetId="17">Oktober!$A$1:$H$48</definedName>
    <definedName name="_xlnm.Print_Area" localSheetId="16">September!$A$1:$H$48</definedName>
    <definedName name="Tag_1" localSheetId="3">'[1]pers. data'!$C$5</definedName>
    <definedName name="Tag_1">'[2]pers. data'!$C$5</definedName>
    <definedName name="TaskData" localSheetId="3">[1]!Tabelle13[[Task Eingabe]:[PSP List]]</definedName>
    <definedName name="TaskData">[2]!Tabelle1[[Task Eingabe]:[PSP List]]</definedName>
    <definedName name="WEEK1">'[1]2021'!$D$27</definedName>
    <definedName name="WEEK10">'[1]2021'!$D$234</definedName>
    <definedName name="WEEK11">'[1]2021'!$D$257</definedName>
    <definedName name="WEEK12">'[1]2021'!$D$280</definedName>
    <definedName name="WEEK13">'[1]2021'!$D$303</definedName>
    <definedName name="WEEK14">'[1]2021'!$D$326</definedName>
    <definedName name="WEEK15">'[1]2021'!$D$349</definedName>
    <definedName name="WEEK16">'[1]2021'!$D$372</definedName>
    <definedName name="WEEK17">'[1]2021'!$D$395</definedName>
    <definedName name="WEEK18">'[1]2021'!$D$418</definedName>
    <definedName name="WEEK19">'[1]2021'!$D$441</definedName>
    <definedName name="WEEK2">'[1]2021'!$D$50</definedName>
    <definedName name="WEEK20">'[1]2021'!$D$464</definedName>
    <definedName name="WEEK21">'[1]2021'!$D$487</definedName>
    <definedName name="WEEK22">'[1]2021'!$D$510</definedName>
    <definedName name="WEEK23">'[1]2021'!$D$533</definedName>
    <definedName name="WEEK24">'[1]2021'!$D$556</definedName>
    <definedName name="WEEK25">'[1]2021'!$D$579</definedName>
    <definedName name="WEEK26">'[1]2021'!$D$602</definedName>
    <definedName name="WEEK27">'[1]2021'!$D$625</definedName>
    <definedName name="WEEK28">'[1]2021'!$D$648</definedName>
    <definedName name="WEEK29">'[1]2021'!$D$671</definedName>
    <definedName name="WEEK3">'[1]2021'!$D$73</definedName>
    <definedName name="WEEK30">'[1]2021'!$D$694</definedName>
    <definedName name="WEEK31">'[1]2021'!$D$717</definedName>
    <definedName name="WEEK32">'[1]2021'!$D$740</definedName>
    <definedName name="WEEK33">'[1]2021'!$D$763</definedName>
    <definedName name="WEEK34">'[1]2021'!$D$786</definedName>
    <definedName name="WEEK35">'[1]2021'!$D$809</definedName>
    <definedName name="WEEK36">'[1]2021'!$D$832</definedName>
    <definedName name="WEEK37">'[1]2021'!$D$855</definedName>
    <definedName name="WEEK38">'[1]2021'!$D$878</definedName>
    <definedName name="WEEK39">'[1]2021'!$D$901</definedName>
    <definedName name="WEEK4">'[1]2021'!$D$96</definedName>
    <definedName name="WEEK40">'[1]2021'!$D$924</definedName>
    <definedName name="WEEK41">'[1]2021'!$D$947</definedName>
    <definedName name="WEEK42">'[1]2021'!$D$970</definedName>
    <definedName name="WEEK43">'[1]2021'!$D$993</definedName>
    <definedName name="WEEK44">'[1]2021'!$D$1016</definedName>
    <definedName name="WEEK45">'[1]2021'!$D$1039</definedName>
    <definedName name="WEEK46">'[1]2021'!$D$1062</definedName>
    <definedName name="WEEK47">'[1]2021'!$D$1085</definedName>
    <definedName name="WEEK48">'[1]2021'!$D$1108</definedName>
    <definedName name="WEEK49">'[1]2021'!$D$1131</definedName>
    <definedName name="WEEK5">'[1]2021'!$D$119</definedName>
    <definedName name="WEEK50">'[1]2021'!$D$1154</definedName>
    <definedName name="WEEK51">'[1]2021'!$D$1177</definedName>
    <definedName name="WEEK52">'[1]2021'!$D$1200</definedName>
    <definedName name="WEEK53">'[1]2021'!$D$1223</definedName>
    <definedName name="WEEK6">'[1]2021'!$D$142</definedName>
    <definedName name="WEEK7">'[1]2021'!$D$165</definedName>
    <definedName name="WEEK8">'[1]2021'!$D$188</definedName>
    <definedName name="WEEK9">'[1]2021'!$D$211</definedName>
    <definedName name="WeekHrs" localSheetId="3">'[1]pers. data'!$C$7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32" l="1"/>
  <c r="B2" i="32"/>
  <c r="C2" i="32" s="1"/>
  <c r="F2" i="32"/>
  <c r="G2" i="32" s="1"/>
  <c r="K2" i="32"/>
  <c r="B3" i="32"/>
  <c r="C3" i="32" s="1"/>
  <c r="F3" i="32"/>
  <c r="H3" i="32" s="1"/>
  <c r="G3" i="32"/>
  <c r="K3" i="32"/>
  <c r="B4" i="32"/>
  <c r="C4" i="32" s="1"/>
  <c r="F4" i="32"/>
  <c r="H4" i="32" s="1"/>
  <c r="G4" i="32" s="1"/>
  <c r="I4" i="32" s="1"/>
  <c r="K4" i="32" s="1"/>
  <c r="B5" i="32"/>
  <c r="J5" i="32" s="1"/>
  <c r="F5" i="32"/>
  <c r="B6" i="32"/>
  <c r="C6" i="32"/>
  <c r="F6" i="32"/>
  <c r="J6" i="32"/>
  <c r="N6" i="32"/>
  <c r="B7" i="32"/>
  <c r="C7" i="32"/>
  <c r="F7" i="32"/>
  <c r="J7" i="32"/>
  <c r="N7" i="32"/>
  <c r="B8" i="32"/>
  <c r="J8" i="32" s="1"/>
  <c r="C8" i="32"/>
  <c r="F8" i="32"/>
  <c r="H8" i="32" s="1"/>
  <c r="G8" i="32" s="1"/>
  <c r="B9" i="32"/>
  <c r="C9" i="32" s="1"/>
  <c r="F9" i="32"/>
  <c r="G9" i="32"/>
  <c r="H9" i="32"/>
  <c r="I9" i="32"/>
  <c r="K9" i="32"/>
  <c r="B10" i="32"/>
  <c r="C10" i="32" s="1"/>
  <c r="F10" i="32"/>
  <c r="G10" i="32" s="1"/>
  <c r="H10" i="32"/>
  <c r="I10" i="32"/>
  <c r="K10" i="32"/>
  <c r="B11" i="32"/>
  <c r="C11" i="32" s="1"/>
  <c r="F11" i="32"/>
  <c r="H11" i="32"/>
  <c r="G11" i="32" s="1"/>
  <c r="I11" i="32" s="1"/>
  <c r="K11" i="32" s="1"/>
  <c r="J11" i="32"/>
  <c r="B12" i="32"/>
  <c r="C12" i="32"/>
  <c r="F12" i="32"/>
  <c r="G12" i="32" s="1"/>
  <c r="J12" i="32"/>
  <c r="K12" i="32"/>
  <c r="N12" i="32"/>
  <c r="B13" i="32"/>
  <c r="C13" i="32"/>
  <c r="F13" i="32"/>
  <c r="H13" i="32" s="1"/>
  <c r="B14" i="32"/>
  <c r="C14" i="32" s="1"/>
  <c r="F14" i="32"/>
  <c r="H14" i="32"/>
  <c r="G14" i="32" s="1"/>
  <c r="I14" i="32" s="1"/>
  <c r="K14" i="32" s="1"/>
  <c r="J14" i="32"/>
  <c r="N14" i="32"/>
  <c r="S82" i="10"/>
  <c r="R82" i="10"/>
  <c r="Q82" i="10"/>
  <c r="S27" i="10" a="1"/>
  <c r="S27" i="10" s="1"/>
  <c r="R27" i="10" a="1"/>
  <c r="R27" i="10" s="1"/>
  <c r="Q27" i="10" a="1"/>
  <c r="Q27" i="10" s="1"/>
  <c r="P27" i="10" a="1"/>
  <c r="P27" i="10" s="1"/>
  <c r="O27" i="10" a="1"/>
  <c r="O27" i="10" s="1"/>
  <c r="N27" i="10" a="1"/>
  <c r="N27" i="10" s="1"/>
  <c r="S26" i="10"/>
  <c r="R26" i="10"/>
  <c r="Q26" i="10"/>
  <c r="P26" i="10"/>
  <c r="O26" i="10"/>
  <c r="N26" i="10"/>
  <c r="L26" i="10"/>
  <c r="M26" i="10" s="1"/>
  <c r="M27" i="10" s="1" a="1"/>
  <c r="M27" i="10" s="1"/>
  <c r="T26" i="10" s="1"/>
  <c r="S34" i="10" a="1"/>
  <c r="S34" i="10" s="1"/>
  <c r="R34" i="10" a="1"/>
  <c r="R34" i="10" s="1"/>
  <c r="Q34" i="10" a="1"/>
  <c r="Q34" i="10" s="1"/>
  <c r="P34" i="10" a="1"/>
  <c r="P34" i="10" s="1"/>
  <c r="O34" i="10" a="1"/>
  <c r="O34" i="10" s="1"/>
  <c r="N34" i="10" a="1"/>
  <c r="N34" i="10" s="1"/>
  <c r="S25" i="10"/>
  <c r="S25" i="10" a="1"/>
  <c r="R25" i="10" a="1"/>
  <c r="R25" i="10" s="1"/>
  <c r="Q25" i="10" a="1"/>
  <c r="Q25" i="10" s="1"/>
  <c r="O25" i="10" a="1"/>
  <c r="O25" i="10" s="1"/>
  <c r="M25" i="10" a="1"/>
  <c r="M25" i="10" s="1"/>
  <c r="S23" i="10" a="1"/>
  <c r="S23" i="10" s="1"/>
  <c r="R23" i="10"/>
  <c r="R23" i="10" a="1"/>
  <c r="Q23" i="10" a="1"/>
  <c r="Q23" i="10" s="1"/>
  <c r="P23" i="10" a="1"/>
  <c r="P23" i="10" s="1"/>
  <c r="O23" i="10" a="1"/>
  <c r="O23" i="10" s="1"/>
  <c r="N23" i="10" a="1"/>
  <c r="N23" i="10" s="1"/>
  <c r="M23" i="10"/>
  <c r="M23" i="10" a="1"/>
  <c r="S19" i="10"/>
  <c r="S19" i="10" a="1"/>
  <c r="R19" i="10"/>
  <c r="R19" i="10" a="1"/>
  <c r="P19" i="10" a="1"/>
  <c r="P19" i="10" s="1"/>
  <c r="N19" i="10" a="1"/>
  <c r="N19" i="10" s="1"/>
  <c r="M19" i="10" a="1"/>
  <c r="M19" i="10" s="1"/>
  <c r="S17" i="10" a="1"/>
  <c r="S17" i="10" s="1"/>
  <c r="R17" i="10" a="1"/>
  <c r="R17" i="10" s="1"/>
  <c r="Q17" i="10" a="1"/>
  <c r="Q17" i="10" s="1"/>
  <c r="P17" i="10" a="1"/>
  <c r="P17" i="10" s="1"/>
  <c r="O17" i="10" a="1"/>
  <c r="O17" i="10" s="1"/>
  <c r="N17" i="10" a="1"/>
  <c r="N17" i="10" s="1"/>
  <c r="M17" i="10" a="1"/>
  <c r="M17" i="10" s="1"/>
  <c r="S12" i="10"/>
  <c r="S12" i="10" a="1"/>
  <c r="R12" i="10" a="1"/>
  <c r="R12" i="10" s="1"/>
  <c r="S10" i="10" a="1"/>
  <c r="S10" i="10" s="1"/>
  <c r="R10" i="10" a="1"/>
  <c r="R10" i="10" s="1"/>
  <c r="R8" i="10" a="1"/>
  <c r="R8" i="10" s="1"/>
  <c r="S8" i="10" a="1"/>
  <c r="S8" i="10" s="1"/>
  <c r="B15" i="32"/>
  <c r="C15" i="32" s="1"/>
  <c r="F15" i="32"/>
  <c r="N15" i="32"/>
  <c r="F22" i="32"/>
  <c r="H22" i="32" s="1"/>
  <c r="B22" i="32"/>
  <c r="C22" i="32" s="1"/>
  <c r="F21" i="32"/>
  <c r="G21" i="32" s="1"/>
  <c r="B21" i="32"/>
  <c r="J21" i="32" s="1"/>
  <c r="F20" i="32"/>
  <c r="B20" i="32"/>
  <c r="C20" i="32" s="1"/>
  <c r="F19" i="32"/>
  <c r="B19" i="32"/>
  <c r="C19" i="32" s="1"/>
  <c r="F18" i="32"/>
  <c r="B18" i="32"/>
  <c r="N18" i="32" s="1"/>
  <c r="F17" i="32"/>
  <c r="G17" i="32" s="1"/>
  <c r="B17" i="32"/>
  <c r="C17" i="32" s="1"/>
  <c r="F16" i="32"/>
  <c r="G16" i="32" s="1"/>
  <c r="B16" i="32"/>
  <c r="J16" i="32" s="1"/>
  <c r="F29" i="32"/>
  <c r="H29" i="32" s="1"/>
  <c r="B29" i="32"/>
  <c r="C29" i="32" s="1"/>
  <c r="F28" i="32"/>
  <c r="B28" i="32"/>
  <c r="J28" i="32" s="1"/>
  <c r="F27" i="32"/>
  <c r="G27" i="32" s="1"/>
  <c r="B27" i="32"/>
  <c r="C27" i="32" s="1"/>
  <c r="F26" i="32"/>
  <c r="G26" i="32" s="1"/>
  <c r="B26" i="32"/>
  <c r="N26" i="32" s="1"/>
  <c r="F25" i="32"/>
  <c r="G25" i="32" s="1"/>
  <c r="B25" i="32"/>
  <c r="N25" i="32" s="1"/>
  <c r="F24" i="32"/>
  <c r="G24" i="32" s="1"/>
  <c r="B24" i="32"/>
  <c r="N24" i="32" s="1"/>
  <c r="F23" i="32"/>
  <c r="K23" i="32" s="1"/>
  <c r="B23" i="32"/>
  <c r="C23" i="32" s="1"/>
  <c r="F43" i="32"/>
  <c r="B43" i="32"/>
  <c r="N43" i="32" s="1"/>
  <c r="F42" i="32"/>
  <c r="B42" i="32"/>
  <c r="N42" i="32" s="1"/>
  <c r="F41" i="32"/>
  <c r="B41" i="32"/>
  <c r="C41" i="32" s="1"/>
  <c r="F40" i="32"/>
  <c r="G40" i="32" s="1"/>
  <c r="B40" i="32"/>
  <c r="J40" i="32" s="1"/>
  <c r="F39" i="32"/>
  <c r="H39" i="32" s="1"/>
  <c r="B39" i="32"/>
  <c r="N39" i="32" s="1"/>
  <c r="F38" i="32"/>
  <c r="G38" i="32" s="1"/>
  <c r="B38" i="32"/>
  <c r="N38" i="32" s="1"/>
  <c r="F37" i="32"/>
  <c r="I37" i="32" s="1"/>
  <c r="B37" i="32"/>
  <c r="C37" i="32" s="1"/>
  <c r="F36" i="32"/>
  <c r="B36" i="32"/>
  <c r="N36" i="32" s="1"/>
  <c r="F35" i="32"/>
  <c r="B35" i="32"/>
  <c r="N35" i="32" s="1"/>
  <c r="F34" i="32"/>
  <c r="B34" i="32"/>
  <c r="C34" i="32" s="1"/>
  <c r="F33" i="32"/>
  <c r="G33" i="32" s="1"/>
  <c r="B33" i="32"/>
  <c r="N33" i="32" s="1"/>
  <c r="F32" i="32"/>
  <c r="B32" i="32"/>
  <c r="N32" i="32" s="1"/>
  <c r="F31" i="32"/>
  <c r="G31" i="32" s="1"/>
  <c r="B31" i="32"/>
  <c r="C31" i="32" s="1"/>
  <c r="F30" i="32"/>
  <c r="K30" i="32" s="1"/>
  <c r="B30" i="32"/>
  <c r="F50" i="32"/>
  <c r="B50" i="32"/>
  <c r="N50" i="32" s="1"/>
  <c r="F49" i="32"/>
  <c r="B49" i="32"/>
  <c r="N49" i="32" s="1"/>
  <c r="F48" i="32"/>
  <c r="B48" i="32"/>
  <c r="J48" i="32" s="1"/>
  <c r="F47" i="32"/>
  <c r="B47" i="32"/>
  <c r="C47" i="32" s="1"/>
  <c r="F46" i="32"/>
  <c r="G46" i="32" s="1"/>
  <c r="B46" i="32"/>
  <c r="N46" i="32" s="1"/>
  <c r="F45" i="32"/>
  <c r="K45" i="32" s="1"/>
  <c r="B45" i="32"/>
  <c r="J45" i="32" s="1"/>
  <c r="F44" i="32"/>
  <c r="I44" i="32" s="1"/>
  <c r="B44" i="32"/>
  <c r="C44" i="32" s="1"/>
  <c r="C55" i="10"/>
  <c r="D55" i="10"/>
  <c r="E55" i="10" s="1"/>
  <c r="F55" i="10" s="1"/>
  <c r="F57" i="32"/>
  <c r="H57" i="32" s="1"/>
  <c r="B57" i="32"/>
  <c r="J57" i="32" s="1"/>
  <c r="F56" i="32"/>
  <c r="H56" i="32" s="1"/>
  <c r="B56" i="32"/>
  <c r="J56" i="32" s="1"/>
  <c r="F55" i="32"/>
  <c r="B55" i="32"/>
  <c r="J55" i="32" s="1"/>
  <c r="F54" i="32"/>
  <c r="H54" i="32" s="1"/>
  <c r="B54" i="32"/>
  <c r="C54" i="32" s="1"/>
  <c r="F53" i="32"/>
  <c r="B53" i="32"/>
  <c r="J53" i="32" s="1"/>
  <c r="F52" i="32"/>
  <c r="K52" i="32" s="1"/>
  <c r="B52" i="32"/>
  <c r="C52" i="32" s="1"/>
  <c r="F51" i="32"/>
  <c r="G51" i="32" s="1"/>
  <c r="B51" i="32"/>
  <c r="J51" i="32" s="1"/>
  <c r="N136" i="32"/>
  <c r="F64" i="32"/>
  <c r="H64" i="32" s="1"/>
  <c r="B64" i="32"/>
  <c r="J64" i="32" s="1"/>
  <c r="F63" i="32"/>
  <c r="B63" i="32"/>
  <c r="J63" i="32" s="1"/>
  <c r="F62" i="32"/>
  <c r="B62" i="32"/>
  <c r="N62" i="32" s="1"/>
  <c r="F61" i="32"/>
  <c r="H61" i="32" s="1"/>
  <c r="B61" i="32"/>
  <c r="C61" i="32" s="1"/>
  <c r="F60" i="32"/>
  <c r="B60" i="32"/>
  <c r="N60" i="32" s="1"/>
  <c r="F59" i="32"/>
  <c r="I59" i="32" s="1"/>
  <c r="B59" i="32"/>
  <c r="C59" i="32" s="1"/>
  <c r="F58" i="32"/>
  <c r="I58" i="32" s="1"/>
  <c r="B58" i="32"/>
  <c r="J58" i="32" s="1"/>
  <c r="F90" i="32"/>
  <c r="F91" i="32"/>
  <c r="H91" i="32" s="1"/>
  <c r="F92" i="32"/>
  <c r="H92" i="32" s="1"/>
  <c r="F93" i="32"/>
  <c r="K93" i="32" s="1"/>
  <c r="F94" i="32"/>
  <c r="H94" i="32" s="1"/>
  <c r="F95" i="32"/>
  <c r="F96" i="32"/>
  <c r="H96" i="32" s="1"/>
  <c r="G96" i="32" s="1"/>
  <c r="F97" i="32"/>
  <c r="F98" i="32"/>
  <c r="F99" i="32"/>
  <c r="F100" i="32"/>
  <c r="K100" i="32" s="1"/>
  <c r="F101" i="32"/>
  <c r="K101" i="32" s="1"/>
  <c r="F102" i="32"/>
  <c r="F103" i="32"/>
  <c r="F104" i="32"/>
  <c r="F105" i="32"/>
  <c r="H105" i="32" s="1"/>
  <c r="F106" i="32"/>
  <c r="H106" i="32" s="1"/>
  <c r="F107" i="32"/>
  <c r="H107" i="32" s="1"/>
  <c r="F108" i="32"/>
  <c r="H108" i="32" s="1"/>
  <c r="F109" i="32"/>
  <c r="G109" i="32" s="1"/>
  <c r="F110" i="32"/>
  <c r="G110" i="32" s="1"/>
  <c r="F111" i="32"/>
  <c r="H111" i="32" s="1"/>
  <c r="F112" i="32"/>
  <c r="F113" i="32"/>
  <c r="H113" i="32" s="1"/>
  <c r="G113" i="32" s="1"/>
  <c r="F114" i="32"/>
  <c r="G114" i="32" s="1"/>
  <c r="F115" i="32"/>
  <c r="K115" i="32" s="1"/>
  <c r="F116" i="32"/>
  <c r="H116" i="32" s="1"/>
  <c r="G116" i="32" s="1"/>
  <c r="F117" i="32"/>
  <c r="H117" i="32" s="1"/>
  <c r="G117" i="32" s="1"/>
  <c r="F118" i="32"/>
  <c r="H118" i="32" s="1"/>
  <c r="G118" i="32" s="1"/>
  <c r="F119" i="32"/>
  <c r="H119" i="32" s="1"/>
  <c r="G119" i="32" s="1"/>
  <c r="F120" i="32"/>
  <c r="H120" i="32" s="1"/>
  <c r="F121" i="32"/>
  <c r="K121" i="32" s="1"/>
  <c r="F122" i="32"/>
  <c r="H122" i="32" s="1"/>
  <c r="F123" i="32"/>
  <c r="H123" i="32" s="1"/>
  <c r="G123" i="32" s="1"/>
  <c r="I123" i="32" s="1"/>
  <c r="F124" i="32"/>
  <c r="F125" i="32"/>
  <c r="F126" i="32"/>
  <c r="F127" i="32"/>
  <c r="F128" i="32"/>
  <c r="K128" i="32" s="1"/>
  <c r="F129" i="32"/>
  <c r="K129" i="32" s="1"/>
  <c r="F130" i="32"/>
  <c r="F131" i="32"/>
  <c r="F132" i="32"/>
  <c r="F133" i="32"/>
  <c r="F134" i="32"/>
  <c r="F135" i="32"/>
  <c r="G135" i="32" s="1"/>
  <c r="F66" i="32"/>
  <c r="G66" i="32" s="1"/>
  <c r="F67" i="32"/>
  <c r="F68" i="32"/>
  <c r="F69" i="32"/>
  <c r="H69" i="32" s="1"/>
  <c r="F70" i="32"/>
  <c r="H70" i="32" s="1"/>
  <c r="F71" i="32"/>
  <c r="G71" i="32" s="1"/>
  <c r="F72" i="32"/>
  <c r="G72" i="32" s="1"/>
  <c r="F73" i="32"/>
  <c r="K73" i="32" s="1"/>
  <c r="F74" i="32"/>
  <c r="K74" i="32" s="1"/>
  <c r="F75" i="32"/>
  <c r="F76" i="32"/>
  <c r="F77" i="32"/>
  <c r="F78" i="32"/>
  <c r="F79" i="32"/>
  <c r="K79" i="32" s="1"/>
  <c r="F80" i="32"/>
  <c r="K80" i="32" s="1"/>
  <c r="F81" i="32"/>
  <c r="F82" i="32"/>
  <c r="F83" i="32"/>
  <c r="H83" i="32" s="1"/>
  <c r="F84" i="32"/>
  <c r="H84" i="32" s="1"/>
  <c r="F85" i="32"/>
  <c r="H85" i="32" s="1"/>
  <c r="F86" i="32"/>
  <c r="G86" i="32" s="1"/>
  <c r="F87" i="32"/>
  <c r="K87" i="32" s="1"/>
  <c r="F88" i="32"/>
  <c r="F89" i="32"/>
  <c r="H89" i="32" s="1"/>
  <c r="F65" i="32"/>
  <c r="I65" i="32" s="1"/>
  <c r="B65" i="32"/>
  <c r="C65" i="32" s="1"/>
  <c r="B66" i="32"/>
  <c r="J66" i="32" s="1"/>
  <c r="B67" i="32"/>
  <c r="N67" i="32" s="1"/>
  <c r="B68" i="32"/>
  <c r="J68" i="32" s="1"/>
  <c r="B69" i="32"/>
  <c r="C69" i="32" s="1"/>
  <c r="B70" i="32"/>
  <c r="N70" i="32" s="1"/>
  <c r="B71" i="32"/>
  <c r="N71" i="32" s="1"/>
  <c r="B72" i="32"/>
  <c r="C72" i="32" s="1"/>
  <c r="B73" i="32"/>
  <c r="N73" i="32" s="1"/>
  <c r="B74" i="32"/>
  <c r="J74" i="32" s="1"/>
  <c r="B75" i="32"/>
  <c r="N75" i="32" s="1"/>
  <c r="B77" i="32"/>
  <c r="N77" i="32" s="1"/>
  <c r="B78" i="32"/>
  <c r="J78" i="32" s="1"/>
  <c r="B79" i="32"/>
  <c r="B80" i="32"/>
  <c r="N80" i="32" s="1"/>
  <c r="B81" i="32"/>
  <c r="J81" i="32" s="1"/>
  <c r="B82" i="32"/>
  <c r="N82" i="32" s="1"/>
  <c r="B83" i="32"/>
  <c r="N83" i="32" s="1"/>
  <c r="B84" i="32"/>
  <c r="N84" i="32" s="1"/>
  <c r="B85" i="32"/>
  <c r="N85" i="32" s="1"/>
  <c r="B86" i="32"/>
  <c r="J86" i="32" s="1"/>
  <c r="B87" i="32"/>
  <c r="N87" i="32" s="1"/>
  <c r="B88" i="32"/>
  <c r="N88" i="32" s="1"/>
  <c r="B89" i="32"/>
  <c r="J89" i="32" s="1"/>
  <c r="B90" i="32"/>
  <c r="J90" i="32" s="1"/>
  <c r="B91" i="32"/>
  <c r="N91" i="32" s="1"/>
  <c r="B92" i="32"/>
  <c r="C92" i="32" s="1"/>
  <c r="B93" i="32"/>
  <c r="C93" i="32" s="1"/>
  <c r="B94" i="32"/>
  <c r="C94" i="32" s="1"/>
  <c r="B95" i="32"/>
  <c r="C95" i="32" s="1"/>
  <c r="B96" i="32"/>
  <c r="J96" i="32" s="1"/>
  <c r="B97" i="32"/>
  <c r="N97" i="32" s="1"/>
  <c r="B98" i="32"/>
  <c r="J98" i="32" s="1"/>
  <c r="B99" i="32"/>
  <c r="J99" i="32" s="1"/>
  <c r="B100" i="32"/>
  <c r="C100" i="32" s="1"/>
  <c r="B101" i="32"/>
  <c r="N101" i="32" s="1"/>
  <c r="B102" i="32"/>
  <c r="N102" i="32" s="1"/>
  <c r="B103" i="32"/>
  <c r="N103" i="32" s="1"/>
  <c r="B104" i="32"/>
  <c r="C104" i="32" s="1"/>
  <c r="B105" i="32"/>
  <c r="N105" i="32" s="1"/>
  <c r="B106" i="32"/>
  <c r="N106" i="32" s="1"/>
  <c r="B107" i="32"/>
  <c r="B108" i="32"/>
  <c r="N108" i="32" s="1"/>
  <c r="B109" i="32"/>
  <c r="N109" i="32" s="1"/>
  <c r="B110" i="32"/>
  <c r="N110" i="32" s="1"/>
  <c r="B111" i="32"/>
  <c r="N111" i="32" s="1"/>
  <c r="B112" i="32"/>
  <c r="J112" i="32" s="1"/>
  <c r="B113" i="32"/>
  <c r="C113" i="32" s="1"/>
  <c r="B114" i="32"/>
  <c r="J114" i="32" s="1"/>
  <c r="B115" i="32"/>
  <c r="C115" i="32" s="1"/>
  <c r="B116" i="32"/>
  <c r="N116" i="32" s="1"/>
  <c r="B117" i="32"/>
  <c r="J117" i="32" s="1"/>
  <c r="B118" i="32"/>
  <c r="J118" i="32" s="1"/>
  <c r="B119" i="32"/>
  <c r="J119" i="32" s="1"/>
  <c r="B120" i="32"/>
  <c r="N120" i="32" s="1"/>
  <c r="B121" i="32"/>
  <c r="C121" i="32" s="1"/>
  <c r="B122" i="32"/>
  <c r="N122" i="32" s="1"/>
  <c r="B123" i="32"/>
  <c r="N123" i="32" s="1"/>
  <c r="B124" i="32"/>
  <c r="N124" i="32" s="1"/>
  <c r="B125" i="32"/>
  <c r="N125" i="32" s="1"/>
  <c r="B126" i="32"/>
  <c r="J126" i="32" s="1"/>
  <c r="B127" i="32"/>
  <c r="J127" i="32" s="1"/>
  <c r="B128" i="32"/>
  <c r="C128" i="32" s="1"/>
  <c r="B129" i="32"/>
  <c r="N129" i="32" s="1"/>
  <c r="B130" i="32"/>
  <c r="N130" i="32" s="1"/>
  <c r="B131" i="32"/>
  <c r="J131" i="32" s="1"/>
  <c r="B132" i="32"/>
  <c r="C132" i="32" s="1"/>
  <c r="B133" i="32"/>
  <c r="C133" i="32" s="1"/>
  <c r="B134" i="32"/>
  <c r="N134" i="32" s="1"/>
  <c r="B135" i="32"/>
  <c r="B76" i="32"/>
  <c r="N76" i="32" s="1"/>
  <c r="C199" i="15"/>
  <c r="D7" i="15"/>
  <c r="W28" i="15"/>
  <c r="V28" i="15"/>
  <c r="U28" i="15"/>
  <c r="T28" i="15"/>
  <c r="S28" i="15"/>
  <c r="R28" i="15"/>
  <c r="Q28" i="15"/>
  <c r="P28" i="15"/>
  <c r="P27" i="15"/>
  <c r="N27" i="15"/>
  <c r="L27" i="15"/>
  <c r="J27" i="15"/>
  <c r="I27" i="15"/>
  <c r="G27" i="15"/>
  <c r="F27" i="15"/>
  <c r="E27" i="15"/>
  <c r="P26" i="15"/>
  <c r="N26" i="15"/>
  <c r="L26" i="15"/>
  <c r="J26" i="15"/>
  <c r="I26" i="15"/>
  <c r="G26" i="15"/>
  <c r="F26" i="15"/>
  <c r="E26" i="15"/>
  <c r="P25" i="15"/>
  <c r="N25" i="15"/>
  <c r="L25" i="15"/>
  <c r="J25" i="15"/>
  <c r="I25" i="15"/>
  <c r="G25" i="15"/>
  <c r="F25" i="15"/>
  <c r="E25" i="15"/>
  <c r="P24" i="15"/>
  <c r="N24" i="15"/>
  <c r="L24" i="15"/>
  <c r="J24" i="15"/>
  <c r="I24" i="15"/>
  <c r="G24" i="15"/>
  <c r="F24" i="15"/>
  <c r="E24" i="15"/>
  <c r="P23" i="15"/>
  <c r="N23" i="15"/>
  <c r="L23" i="15"/>
  <c r="J23" i="15"/>
  <c r="I23" i="15"/>
  <c r="G23" i="15"/>
  <c r="F23" i="15"/>
  <c r="E23" i="15"/>
  <c r="P22" i="15"/>
  <c r="N22" i="15"/>
  <c r="L22" i="15"/>
  <c r="J22" i="15"/>
  <c r="I22" i="15"/>
  <c r="G22" i="15"/>
  <c r="F22" i="15"/>
  <c r="E22" i="15"/>
  <c r="P21" i="15"/>
  <c r="N21" i="15"/>
  <c r="L21" i="15"/>
  <c r="J21" i="15"/>
  <c r="I21" i="15"/>
  <c r="G21" i="15"/>
  <c r="F21" i="15"/>
  <c r="E21" i="15"/>
  <c r="P20" i="15"/>
  <c r="N20" i="15"/>
  <c r="L20" i="15"/>
  <c r="J20" i="15"/>
  <c r="I20" i="15"/>
  <c r="G20" i="15"/>
  <c r="F20" i="15"/>
  <c r="E20" i="15"/>
  <c r="P19" i="15"/>
  <c r="N19" i="15"/>
  <c r="L19" i="15"/>
  <c r="J19" i="15"/>
  <c r="I19" i="15"/>
  <c r="G19" i="15"/>
  <c r="F19" i="15"/>
  <c r="E19" i="15"/>
  <c r="P18" i="15"/>
  <c r="N18" i="15"/>
  <c r="L18" i="15"/>
  <c r="J18" i="15"/>
  <c r="I18" i="15"/>
  <c r="G18" i="15"/>
  <c r="F18" i="15"/>
  <c r="E18" i="15"/>
  <c r="P17" i="15"/>
  <c r="P16" i="15"/>
  <c r="P15" i="15"/>
  <c r="I15" i="15"/>
  <c r="H12" i="15"/>
  <c r="I12" i="15" s="1"/>
  <c r="P12" i="15" s="1"/>
  <c r="G12" i="15"/>
  <c r="H11" i="15"/>
  <c r="I11" i="15" s="1"/>
  <c r="P11" i="15" s="1"/>
  <c r="G11" i="15"/>
  <c r="H10" i="15"/>
  <c r="I10" i="15" s="1"/>
  <c r="P10" i="15" s="1"/>
  <c r="G10" i="15"/>
  <c r="H9" i="15"/>
  <c r="H8" i="15"/>
  <c r="G8" i="15"/>
  <c r="H7" i="15"/>
  <c r="H6" i="15"/>
  <c r="G6" i="15" s="1"/>
  <c r="Q13" i="15"/>
  <c r="C6" i="15"/>
  <c r="Q4" i="15"/>
  <c r="J4" i="15"/>
  <c r="G4" i="15"/>
  <c r="E3" i="15"/>
  <c r="H65" i="15"/>
  <c r="H6" i="32" l="1"/>
  <c r="I6" i="32"/>
  <c r="K6" i="32" s="1"/>
  <c r="G6" i="32"/>
  <c r="J4" i="32"/>
  <c r="J3" i="32"/>
  <c r="H7" i="32"/>
  <c r="G7" i="32" s="1"/>
  <c r="I7" i="32" s="1"/>
  <c r="K7" i="32" s="1"/>
  <c r="N4" i="32"/>
  <c r="N3" i="32"/>
  <c r="C5" i="32"/>
  <c r="I3" i="32"/>
  <c r="N5" i="32"/>
  <c r="J2" i="32"/>
  <c r="N8" i="32"/>
  <c r="I2" i="32"/>
  <c r="K5" i="32"/>
  <c r="I5" i="32"/>
  <c r="H2" i="32"/>
  <c r="H5" i="32"/>
  <c r="I8" i="32"/>
  <c r="K8" i="32" s="1"/>
  <c r="N11" i="32"/>
  <c r="N10" i="32"/>
  <c r="N13" i="32"/>
  <c r="J13" i="32"/>
  <c r="I13" i="32"/>
  <c r="K13" i="32" s="1"/>
  <c r="N9" i="32" s="1"/>
  <c r="J10" i="32"/>
  <c r="J9" i="32"/>
  <c r="I12" i="32"/>
  <c r="H12" i="32"/>
  <c r="C74" i="32"/>
  <c r="C73" i="32"/>
  <c r="I31" i="32"/>
  <c r="I22" i="32"/>
  <c r="I30" i="32"/>
  <c r="I24" i="32"/>
  <c r="I23" i="32"/>
  <c r="G30" i="32"/>
  <c r="G29" i="32"/>
  <c r="I29" i="32" s="1"/>
  <c r="K29" i="32" s="1"/>
  <c r="J15" i="32"/>
  <c r="G23" i="32"/>
  <c r="G22" i="32"/>
  <c r="H15" i="32"/>
  <c r="I27" i="32"/>
  <c r="I26" i="32"/>
  <c r="I25" i="32"/>
  <c r="H16" i="32"/>
  <c r="I21" i="32"/>
  <c r="K16" i="32"/>
  <c r="I17" i="32"/>
  <c r="I16" i="32"/>
  <c r="I33" i="32"/>
  <c r="K22" i="32"/>
  <c r="N22" i="32"/>
  <c r="H19" i="32"/>
  <c r="G19" i="32" s="1"/>
  <c r="C16" i="32"/>
  <c r="N19" i="32"/>
  <c r="C21" i="32"/>
  <c r="N21" i="32"/>
  <c r="J22" i="32"/>
  <c r="J19" i="32"/>
  <c r="K17" i="32"/>
  <c r="N20" i="32"/>
  <c r="N17" i="32"/>
  <c r="C18" i="32"/>
  <c r="H21" i="32"/>
  <c r="K21" i="32"/>
  <c r="J17" i="32"/>
  <c r="H18" i="32"/>
  <c r="G18" i="32" s="1"/>
  <c r="J18" i="32"/>
  <c r="C70" i="32"/>
  <c r="H20" i="32"/>
  <c r="G20" i="32" s="1"/>
  <c r="H17" i="32"/>
  <c r="J20" i="32"/>
  <c r="K37" i="32"/>
  <c r="K26" i="32"/>
  <c r="H26" i="32"/>
  <c r="C26" i="32"/>
  <c r="J26" i="32"/>
  <c r="J29" i="32"/>
  <c r="N29" i="32"/>
  <c r="H23" i="32"/>
  <c r="J23" i="32"/>
  <c r="H24" i="32"/>
  <c r="J27" i="32"/>
  <c r="J24" i="32"/>
  <c r="K24" i="32"/>
  <c r="N27" i="32"/>
  <c r="C24" i="32"/>
  <c r="C28" i="32"/>
  <c r="C25" i="32"/>
  <c r="H28" i="32"/>
  <c r="G28" i="32" s="1"/>
  <c r="H25" i="32"/>
  <c r="K25" i="32" s="1"/>
  <c r="N28" i="32"/>
  <c r="G37" i="32"/>
  <c r="H27" i="32"/>
  <c r="K27" i="32" s="1"/>
  <c r="H31" i="32"/>
  <c r="K31" i="32"/>
  <c r="G45" i="32"/>
  <c r="G44" i="32"/>
  <c r="J25" i="32"/>
  <c r="N52" i="32"/>
  <c r="J34" i="32"/>
  <c r="C71" i="32"/>
  <c r="N34" i="32"/>
  <c r="G39" i="32"/>
  <c r="I39" i="32" s="1"/>
  <c r="K39" i="32" s="1"/>
  <c r="G41" i="32"/>
  <c r="I41" i="32" s="1"/>
  <c r="K41" i="32" s="1"/>
  <c r="G43" i="32"/>
  <c r="H34" i="32"/>
  <c r="J37" i="32"/>
  <c r="C39" i="32"/>
  <c r="J39" i="32"/>
  <c r="J31" i="32"/>
  <c r="N31" i="32"/>
  <c r="N40" i="32"/>
  <c r="C33" i="32"/>
  <c r="J42" i="32"/>
  <c r="C38" i="32"/>
  <c r="H41" i="32"/>
  <c r="H38" i="32"/>
  <c r="I38" i="32"/>
  <c r="J41" i="32"/>
  <c r="H35" i="32"/>
  <c r="I35" i="32" s="1"/>
  <c r="J38" i="32"/>
  <c r="H32" i="32"/>
  <c r="K38" i="32"/>
  <c r="N41" i="32"/>
  <c r="J35" i="32"/>
  <c r="J32" i="32"/>
  <c r="C42" i="32"/>
  <c r="C35" i="32"/>
  <c r="C32" i="32"/>
  <c r="C36" i="32"/>
  <c r="H42" i="32"/>
  <c r="C30" i="32"/>
  <c r="H36" i="32"/>
  <c r="G36" i="32" s="1"/>
  <c r="I36" i="32" s="1"/>
  <c r="K36" i="32" s="1"/>
  <c r="K33" i="32"/>
  <c r="H33" i="32"/>
  <c r="J36" i="32"/>
  <c r="H30" i="32"/>
  <c r="J33" i="32"/>
  <c r="C43" i="32"/>
  <c r="J30" i="32"/>
  <c r="C40" i="32"/>
  <c r="H43" i="32"/>
  <c r="H40" i="32"/>
  <c r="J43" i="32"/>
  <c r="H37" i="32"/>
  <c r="J54" i="32"/>
  <c r="N133" i="32"/>
  <c r="N57" i="32"/>
  <c r="C55" i="32"/>
  <c r="J47" i="32"/>
  <c r="N47" i="32"/>
  <c r="N48" i="32"/>
  <c r="C45" i="32"/>
  <c r="N45" i="32"/>
  <c r="C46" i="32"/>
  <c r="C50" i="32"/>
  <c r="J50" i="32"/>
  <c r="C68" i="32"/>
  <c r="G52" i="32"/>
  <c r="J44" i="32"/>
  <c r="K44" i="32"/>
  <c r="C48" i="32"/>
  <c r="H48" i="32"/>
  <c r="G48" i="32" s="1"/>
  <c r="I48" i="32" s="1"/>
  <c r="K48" i="32" s="1"/>
  <c r="K65" i="32"/>
  <c r="H45" i="32"/>
  <c r="I45" i="32"/>
  <c r="K92" i="32"/>
  <c r="K59" i="32"/>
  <c r="K58" i="32"/>
  <c r="C57" i="32"/>
  <c r="C49" i="32"/>
  <c r="N56" i="32"/>
  <c r="I46" i="32"/>
  <c r="K46" i="32" s="1"/>
  <c r="H49" i="32"/>
  <c r="N55" i="32"/>
  <c r="H46" i="32"/>
  <c r="N54" i="32"/>
  <c r="J49" i="32"/>
  <c r="N53" i="32"/>
  <c r="J46" i="32"/>
  <c r="N68" i="32"/>
  <c r="N64" i="32"/>
  <c r="H50" i="32"/>
  <c r="I50" i="32" s="1"/>
  <c r="K50" i="32" s="1"/>
  <c r="C51" i="32"/>
  <c r="H47" i="32"/>
  <c r="H44" i="32"/>
  <c r="G54" i="32"/>
  <c r="I54" i="32" s="1"/>
  <c r="K54" i="32" s="1"/>
  <c r="C56" i="32"/>
  <c r="H55" i="32"/>
  <c r="G55" i="32" s="1"/>
  <c r="G56" i="32"/>
  <c r="I56" i="32" s="1"/>
  <c r="K56" i="32" s="1"/>
  <c r="I52" i="32"/>
  <c r="C53" i="32"/>
  <c r="I51" i="32"/>
  <c r="H52" i="32"/>
  <c r="J52" i="32"/>
  <c r="K51" i="32"/>
  <c r="H51" i="32"/>
  <c r="H53" i="32"/>
  <c r="G53" i="32" s="1"/>
  <c r="I57" i="32"/>
  <c r="K57" i="32" s="1"/>
  <c r="N131" i="32"/>
  <c r="N90" i="32"/>
  <c r="N115" i="32"/>
  <c r="K66" i="32"/>
  <c r="N112" i="32"/>
  <c r="N81" i="32"/>
  <c r="N78" i="32"/>
  <c r="N126" i="32"/>
  <c r="N98" i="32"/>
  <c r="N69" i="32"/>
  <c r="N96" i="32"/>
  <c r="N95" i="32"/>
  <c r="N113" i="32"/>
  <c r="N104" i="32"/>
  <c r="N99" i="32"/>
  <c r="N66" i="32"/>
  <c r="N92" i="32"/>
  <c r="N63" i="32"/>
  <c r="N132" i="32"/>
  <c r="N94" i="32"/>
  <c r="N119" i="32"/>
  <c r="N74" i="32"/>
  <c r="N127" i="32"/>
  <c r="N118" i="32"/>
  <c r="N61" i="32"/>
  <c r="N117" i="32"/>
  <c r="N89" i="32"/>
  <c r="N59" i="32"/>
  <c r="J59" i="32"/>
  <c r="H88" i="32"/>
  <c r="G88" i="32" s="1"/>
  <c r="I88" i="32" s="1"/>
  <c r="K88" i="32" s="1"/>
  <c r="K114" i="32"/>
  <c r="K110" i="32"/>
  <c r="K109" i="32"/>
  <c r="K86" i="32"/>
  <c r="K108" i="32"/>
  <c r="K71" i="32"/>
  <c r="K135" i="32"/>
  <c r="N135" i="32" s="1"/>
  <c r="K107" i="32"/>
  <c r="K123" i="32"/>
  <c r="K72" i="32"/>
  <c r="K122" i="32"/>
  <c r="K94" i="32"/>
  <c r="G64" i="32"/>
  <c r="I64" i="32" s="1"/>
  <c r="K64" i="32" s="1"/>
  <c r="J71" i="32"/>
  <c r="H95" i="32"/>
  <c r="G95" i="32" s="1"/>
  <c r="I87" i="32"/>
  <c r="J61" i="32"/>
  <c r="H87" i="32"/>
  <c r="G111" i="32"/>
  <c r="I111" i="32" s="1"/>
  <c r="C62" i="32"/>
  <c r="H115" i="32"/>
  <c r="I114" i="32"/>
  <c r="J62" i="32"/>
  <c r="H114" i="32"/>
  <c r="H112" i="32"/>
  <c r="G112" i="32" s="1"/>
  <c r="I112" i="32" s="1"/>
  <c r="K112" i="32" s="1"/>
  <c r="G87" i="32"/>
  <c r="C60" i="32"/>
  <c r="H62" i="32"/>
  <c r="H60" i="32"/>
  <c r="G60" i="32" s="1"/>
  <c r="I60" i="32" s="1"/>
  <c r="K60" i="32" s="1"/>
  <c r="J60" i="32"/>
  <c r="C63" i="32"/>
  <c r="C58" i="32"/>
  <c r="G58" i="32"/>
  <c r="H63" i="32"/>
  <c r="G63" i="32" s="1"/>
  <c r="I63" i="32" s="1"/>
  <c r="H58" i="32"/>
  <c r="C64" i="32"/>
  <c r="I61" i="32"/>
  <c r="G59" i="32"/>
  <c r="H59" i="32"/>
  <c r="C129" i="32"/>
  <c r="C123" i="32"/>
  <c r="I115" i="32"/>
  <c r="I86" i="32"/>
  <c r="C66" i="32"/>
  <c r="H75" i="32"/>
  <c r="G75" i="32" s="1"/>
  <c r="G122" i="32"/>
  <c r="G121" i="32"/>
  <c r="H74" i="32"/>
  <c r="G120" i="32"/>
  <c r="I120" i="32" s="1"/>
  <c r="K120" i="32" s="1"/>
  <c r="H86" i="32"/>
  <c r="I74" i="32"/>
  <c r="I73" i="32"/>
  <c r="G115" i="32"/>
  <c r="H71" i="32"/>
  <c r="I71" i="32"/>
  <c r="H124" i="32"/>
  <c r="G124" i="32" s="1"/>
  <c r="G94" i="32"/>
  <c r="G85" i="32"/>
  <c r="I85" i="32" s="1"/>
  <c r="K85" i="32" s="1"/>
  <c r="G93" i="32"/>
  <c r="G84" i="32"/>
  <c r="I84" i="32" s="1"/>
  <c r="K84" i="32" s="1"/>
  <c r="G92" i="32"/>
  <c r="C131" i="32"/>
  <c r="G91" i="32"/>
  <c r="I91" i="32" s="1"/>
  <c r="K91" i="32" s="1"/>
  <c r="G83" i="32"/>
  <c r="I83" i="32" s="1"/>
  <c r="K83" i="32" s="1"/>
  <c r="H81" i="32"/>
  <c r="G81" i="32" s="1"/>
  <c r="I117" i="32"/>
  <c r="K117" i="32" s="1"/>
  <c r="G89" i="32"/>
  <c r="I89" i="32" s="1"/>
  <c r="K89" i="32" s="1"/>
  <c r="H82" i="32"/>
  <c r="G82" i="32" s="1"/>
  <c r="I113" i="32"/>
  <c r="K113" i="32" s="1"/>
  <c r="H76" i="32"/>
  <c r="I116" i="32"/>
  <c r="K116" i="32" s="1"/>
  <c r="G65" i="32"/>
  <c r="G108" i="32"/>
  <c r="G80" i="32"/>
  <c r="H73" i="32"/>
  <c r="G107" i="32"/>
  <c r="G79" i="32"/>
  <c r="J72" i="32"/>
  <c r="I72" i="32"/>
  <c r="G106" i="32"/>
  <c r="I106" i="32" s="1"/>
  <c r="K106" i="32" s="1"/>
  <c r="I118" i="32"/>
  <c r="K118" i="32" s="1"/>
  <c r="H72" i="32"/>
  <c r="G105" i="32"/>
  <c r="I105" i="32" s="1"/>
  <c r="I108" i="32"/>
  <c r="G74" i="32"/>
  <c r="I128" i="32"/>
  <c r="G129" i="32"/>
  <c r="G101" i="32"/>
  <c r="G73" i="32"/>
  <c r="I107" i="32"/>
  <c r="H128" i="32"/>
  <c r="G128" i="32"/>
  <c r="G100" i="32"/>
  <c r="H127" i="32"/>
  <c r="G127" i="32" s="1"/>
  <c r="H126" i="32"/>
  <c r="G126" i="32" s="1"/>
  <c r="G70" i="32"/>
  <c r="I70" i="32" s="1"/>
  <c r="H125" i="32"/>
  <c r="G125" i="32" s="1"/>
  <c r="I125" i="32" s="1"/>
  <c r="K125" i="32" s="1"/>
  <c r="H67" i="32"/>
  <c r="G67" i="32" s="1"/>
  <c r="H68" i="32"/>
  <c r="G68" i="32" s="1"/>
  <c r="I68" i="32" s="1"/>
  <c r="G69" i="32"/>
  <c r="I69" i="32" s="1"/>
  <c r="I96" i="32"/>
  <c r="K96" i="32" s="1"/>
  <c r="I119" i="32"/>
  <c r="K119" i="32" s="1"/>
  <c r="H109" i="32"/>
  <c r="I109" i="32"/>
  <c r="H66" i="32"/>
  <c r="I66" i="32"/>
  <c r="H134" i="32"/>
  <c r="G134" i="32" s="1"/>
  <c r="C67" i="32"/>
  <c r="J67" i="32"/>
  <c r="H110" i="32"/>
  <c r="I110" i="32"/>
  <c r="H135" i="32"/>
  <c r="I135" i="32"/>
  <c r="C120" i="32"/>
  <c r="C122" i="32"/>
  <c r="H103" i="32"/>
  <c r="H102" i="32"/>
  <c r="G102" i="32" s="1"/>
  <c r="I101" i="32"/>
  <c r="H101" i="32"/>
  <c r="I80" i="32"/>
  <c r="H133" i="32"/>
  <c r="G133" i="32" s="1"/>
  <c r="I100" i="32"/>
  <c r="H80" i="32"/>
  <c r="H132" i="32"/>
  <c r="G132" i="32" s="1"/>
  <c r="I132" i="32" s="1"/>
  <c r="K132" i="32" s="1"/>
  <c r="H100" i="32"/>
  <c r="I79" i="32"/>
  <c r="H131" i="32"/>
  <c r="H99" i="32"/>
  <c r="G99" i="32" s="1"/>
  <c r="H79" i="32"/>
  <c r="H130" i="32"/>
  <c r="H98" i="32"/>
  <c r="G98" i="32" s="1"/>
  <c r="H78" i="32"/>
  <c r="G78" i="32" s="1"/>
  <c r="I129" i="32"/>
  <c r="H97" i="32"/>
  <c r="H77" i="32"/>
  <c r="G77" i="32" s="1"/>
  <c r="H129" i="32"/>
  <c r="H104" i="32"/>
  <c r="G104" i="32" s="1"/>
  <c r="I121" i="32"/>
  <c r="H65" i="32"/>
  <c r="I92" i="32"/>
  <c r="I122" i="32"/>
  <c r="H90" i="32"/>
  <c r="H121" i="32"/>
  <c r="I94" i="32"/>
  <c r="I93" i="32"/>
  <c r="H93" i="32"/>
  <c r="C112" i="32"/>
  <c r="J84" i="32"/>
  <c r="J65" i="32"/>
  <c r="J70" i="32"/>
  <c r="J69" i="32"/>
  <c r="C130" i="32"/>
  <c r="J130" i="32"/>
  <c r="C119" i="32"/>
  <c r="C118" i="32"/>
  <c r="C116" i="32"/>
  <c r="C111" i="32"/>
  <c r="C83" i="32"/>
  <c r="J83" i="32"/>
  <c r="J129" i="32"/>
  <c r="C75" i="32"/>
  <c r="J128" i="32"/>
  <c r="C127" i="32"/>
  <c r="J95" i="32"/>
  <c r="C102" i="32"/>
  <c r="C101" i="32"/>
  <c r="C91" i="32"/>
  <c r="C90" i="32"/>
  <c r="J116" i="32"/>
  <c r="C89" i="32"/>
  <c r="C88" i="32"/>
  <c r="C110" i="32"/>
  <c r="J113" i="32"/>
  <c r="J77" i="32"/>
  <c r="C103" i="32"/>
  <c r="C87" i="32"/>
  <c r="J106" i="32"/>
  <c r="J75" i="32"/>
  <c r="C86" i="32"/>
  <c r="C85" i="32"/>
  <c r="C84" i="32"/>
  <c r="J105" i="32"/>
  <c r="C125" i="32"/>
  <c r="C82" i="32"/>
  <c r="J73" i="32"/>
  <c r="C124" i="32"/>
  <c r="J104" i="32"/>
  <c r="J134" i="32"/>
  <c r="J103" i="32"/>
  <c r="J82" i="32"/>
  <c r="J102" i="32"/>
  <c r="C117" i="32"/>
  <c r="J132" i="32"/>
  <c r="J133" i="32"/>
  <c r="J115" i="32"/>
  <c r="J101" i="32"/>
  <c r="C114" i="32"/>
  <c r="C76" i="32"/>
  <c r="J94" i="32"/>
  <c r="J76" i="32"/>
  <c r="J125" i="32"/>
  <c r="C80" i="32"/>
  <c r="J80" i="32"/>
  <c r="J124" i="32"/>
  <c r="J123" i="32"/>
  <c r="J91" i="32"/>
  <c r="J122" i="32"/>
  <c r="J111" i="32"/>
  <c r="C109" i="32"/>
  <c r="C81" i="32"/>
  <c r="J100" i="32"/>
  <c r="J108" i="32"/>
  <c r="C108" i="32"/>
  <c r="J88" i="32"/>
  <c r="J135" i="32"/>
  <c r="C135" i="32"/>
  <c r="J107" i="32"/>
  <c r="C107" i="32"/>
  <c r="J79" i="32"/>
  <c r="C79" i="32"/>
  <c r="J121" i="32"/>
  <c r="J110" i="32"/>
  <c r="C99" i="32"/>
  <c r="C98" i="32"/>
  <c r="J87" i="32"/>
  <c r="C97" i="32"/>
  <c r="J120" i="32"/>
  <c r="J109" i="32"/>
  <c r="J97" i="32"/>
  <c r="C96" i="32"/>
  <c r="J93" i="32"/>
  <c r="J92" i="32"/>
  <c r="C126" i="32"/>
  <c r="J85" i="32"/>
  <c r="C134" i="32"/>
  <c r="C106" i="32"/>
  <c r="C78" i="32"/>
  <c r="C105" i="32"/>
  <c r="C77" i="32"/>
  <c r="G7" i="15"/>
  <c r="I7" i="15" s="1"/>
  <c r="P7" i="15" s="1"/>
  <c r="I8" i="15"/>
  <c r="P8" i="15" s="1"/>
  <c r="G9" i="15"/>
  <c r="I9" i="15" s="1"/>
  <c r="P9" i="15" s="1"/>
  <c r="I6" i="15"/>
  <c r="B6" i="15"/>
  <c r="X6" i="15" s="1"/>
  <c r="W6" i="15"/>
  <c r="K6" i="15"/>
  <c r="W274" i="15"/>
  <c r="V274" i="15"/>
  <c r="U274" i="15"/>
  <c r="T274" i="15"/>
  <c r="S274" i="15"/>
  <c r="R274" i="15"/>
  <c r="Q274" i="15"/>
  <c r="P274" i="15"/>
  <c r="J250" i="15" s="1"/>
  <c r="P273" i="15"/>
  <c r="N273" i="15"/>
  <c r="L273" i="15"/>
  <c r="J273" i="15"/>
  <c r="I273" i="15"/>
  <c r="G273" i="15"/>
  <c r="F273" i="15"/>
  <c r="E273" i="15"/>
  <c r="P272" i="15"/>
  <c r="N272" i="15"/>
  <c r="L272" i="15"/>
  <c r="J272" i="15"/>
  <c r="I272" i="15"/>
  <c r="G272" i="15"/>
  <c r="F272" i="15"/>
  <c r="E272" i="15"/>
  <c r="P271" i="15"/>
  <c r="N271" i="15"/>
  <c r="L271" i="15"/>
  <c r="J271" i="15"/>
  <c r="I271" i="15"/>
  <c r="G271" i="15"/>
  <c r="F271" i="15"/>
  <c r="E271" i="15"/>
  <c r="P270" i="15"/>
  <c r="N270" i="15"/>
  <c r="L270" i="15"/>
  <c r="J270" i="15"/>
  <c r="I270" i="15"/>
  <c r="G270" i="15"/>
  <c r="F270" i="15"/>
  <c r="E270" i="15"/>
  <c r="P269" i="15"/>
  <c r="N269" i="15"/>
  <c r="L269" i="15"/>
  <c r="J269" i="15"/>
  <c r="I269" i="15"/>
  <c r="G269" i="15"/>
  <c r="F269" i="15"/>
  <c r="E269" i="15"/>
  <c r="P268" i="15"/>
  <c r="N268" i="15"/>
  <c r="L268" i="15"/>
  <c r="J268" i="15"/>
  <c r="I268" i="15"/>
  <c r="G268" i="15"/>
  <c r="F268" i="15"/>
  <c r="E268" i="15"/>
  <c r="P267" i="15"/>
  <c r="N267" i="15"/>
  <c r="L267" i="15"/>
  <c r="J267" i="15"/>
  <c r="I267" i="15"/>
  <c r="G267" i="15"/>
  <c r="F267" i="15"/>
  <c r="E267" i="15"/>
  <c r="P266" i="15"/>
  <c r="N266" i="15"/>
  <c r="L266" i="15"/>
  <c r="J266" i="15"/>
  <c r="I266" i="15"/>
  <c r="G266" i="15"/>
  <c r="F266" i="15"/>
  <c r="E266" i="15"/>
  <c r="P265" i="15"/>
  <c r="N265" i="15"/>
  <c r="L265" i="15"/>
  <c r="J265" i="15"/>
  <c r="I265" i="15"/>
  <c r="G265" i="15"/>
  <c r="F265" i="15"/>
  <c r="E265" i="15"/>
  <c r="P264" i="15"/>
  <c r="N264" i="15"/>
  <c r="L264" i="15"/>
  <c r="J264" i="15"/>
  <c r="I264" i="15"/>
  <c r="G264" i="15"/>
  <c r="F264" i="15"/>
  <c r="E264" i="15"/>
  <c r="P263" i="15"/>
  <c r="P262" i="15"/>
  <c r="P261" i="15"/>
  <c r="I261" i="15"/>
  <c r="H256" i="15"/>
  <c r="H252" i="15"/>
  <c r="G252" i="15" s="1"/>
  <c r="Q250" i="15"/>
  <c r="G250" i="15"/>
  <c r="W247" i="15"/>
  <c r="V247" i="15"/>
  <c r="U247" i="15"/>
  <c r="T247" i="15"/>
  <c r="S247" i="15"/>
  <c r="R247" i="15"/>
  <c r="Q247" i="15"/>
  <c r="P247" i="15"/>
  <c r="J223" i="15" s="1"/>
  <c r="P246" i="15"/>
  <c r="N246" i="15"/>
  <c r="L246" i="15"/>
  <c r="J246" i="15"/>
  <c r="I246" i="15"/>
  <c r="G246" i="15"/>
  <c r="F246" i="15"/>
  <c r="E246" i="15"/>
  <c r="P245" i="15"/>
  <c r="N245" i="15"/>
  <c r="L245" i="15"/>
  <c r="J245" i="15"/>
  <c r="I245" i="15"/>
  <c r="G245" i="15"/>
  <c r="F245" i="15"/>
  <c r="E245" i="15"/>
  <c r="P244" i="15"/>
  <c r="N244" i="15"/>
  <c r="L244" i="15"/>
  <c r="J244" i="15"/>
  <c r="I244" i="15"/>
  <c r="G244" i="15"/>
  <c r="F244" i="15"/>
  <c r="E244" i="15"/>
  <c r="P243" i="15"/>
  <c r="N243" i="15"/>
  <c r="L243" i="15"/>
  <c r="J243" i="15"/>
  <c r="I243" i="15"/>
  <c r="G243" i="15"/>
  <c r="F243" i="15"/>
  <c r="E243" i="15"/>
  <c r="P242" i="15"/>
  <c r="N242" i="15"/>
  <c r="L242" i="15"/>
  <c r="J242" i="15"/>
  <c r="I242" i="15"/>
  <c r="G242" i="15"/>
  <c r="F242" i="15"/>
  <c r="E242" i="15"/>
  <c r="P241" i="15"/>
  <c r="N241" i="15"/>
  <c r="L241" i="15"/>
  <c r="J241" i="15"/>
  <c r="I241" i="15"/>
  <c r="G241" i="15"/>
  <c r="F241" i="15"/>
  <c r="E241" i="15"/>
  <c r="P240" i="15"/>
  <c r="N240" i="15"/>
  <c r="L240" i="15"/>
  <c r="J240" i="15"/>
  <c r="I240" i="15"/>
  <c r="G240" i="15"/>
  <c r="F240" i="15"/>
  <c r="E240" i="15"/>
  <c r="P239" i="15"/>
  <c r="N239" i="15"/>
  <c r="L239" i="15"/>
  <c r="J239" i="15"/>
  <c r="I239" i="15"/>
  <c r="G239" i="15"/>
  <c r="F239" i="15"/>
  <c r="E239" i="15"/>
  <c r="P238" i="15"/>
  <c r="N238" i="15"/>
  <c r="L238" i="15"/>
  <c r="J238" i="15"/>
  <c r="I238" i="15"/>
  <c r="G238" i="15"/>
  <c r="F238" i="15"/>
  <c r="E238" i="15"/>
  <c r="P237" i="15"/>
  <c r="N237" i="15"/>
  <c r="L237" i="15"/>
  <c r="J237" i="15"/>
  <c r="I237" i="15"/>
  <c r="G237" i="15"/>
  <c r="F237" i="15"/>
  <c r="E237" i="15"/>
  <c r="P236" i="15"/>
  <c r="P235" i="15"/>
  <c r="I235" i="15"/>
  <c r="P234" i="15"/>
  <c r="I234" i="15"/>
  <c r="H229" i="15"/>
  <c r="G229" i="15" s="1"/>
  <c r="I229" i="15" s="1"/>
  <c r="H225" i="15"/>
  <c r="Q223" i="15"/>
  <c r="G223" i="15"/>
  <c r="W220" i="15"/>
  <c r="V220" i="15"/>
  <c r="U220" i="15"/>
  <c r="T220" i="15"/>
  <c r="S220" i="15"/>
  <c r="R220" i="15"/>
  <c r="Q220" i="15"/>
  <c r="P220" i="15"/>
  <c r="P219" i="15"/>
  <c r="N219" i="15"/>
  <c r="L219" i="15"/>
  <c r="J219" i="15"/>
  <c r="I219" i="15"/>
  <c r="G219" i="15"/>
  <c r="F219" i="15"/>
  <c r="E219" i="15"/>
  <c r="P218" i="15"/>
  <c r="N218" i="15"/>
  <c r="L218" i="15"/>
  <c r="J218" i="15"/>
  <c r="I218" i="15"/>
  <c r="G218" i="15"/>
  <c r="F218" i="15"/>
  <c r="E218" i="15"/>
  <c r="P217" i="15"/>
  <c r="N217" i="15"/>
  <c r="L217" i="15"/>
  <c r="J217" i="15"/>
  <c r="I217" i="15"/>
  <c r="G217" i="15"/>
  <c r="F217" i="15"/>
  <c r="E217" i="15"/>
  <c r="P216" i="15"/>
  <c r="N216" i="15"/>
  <c r="L216" i="15"/>
  <c r="J216" i="15"/>
  <c r="I216" i="15"/>
  <c r="G216" i="15"/>
  <c r="F216" i="15"/>
  <c r="E216" i="15"/>
  <c r="P215" i="15"/>
  <c r="N215" i="15"/>
  <c r="L215" i="15"/>
  <c r="J215" i="15"/>
  <c r="I215" i="15"/>
  <c r="G215" i="15"/>
  <c r="F215" i="15"/>
  <c r="E215" i="15"/>
  <c r="P214" i="15"/>
  <c r="N214" i="15"/>
  <c r="L214" i="15"/>
  <c r="J214" i="15"/>
  <c r="I214" i="15"/>
  <c r="G214" i="15"/>
  <c r="F214" i="15"/>
  <c r="E214" i="15"/>
  <c r="P213" i="15"/>
  <c r="N213" i="15"/>
  <c r="L213" i="15"/>
  <c r="J213" i="15"/>
  <c r="I213" i="15"/>
  <c r="G213" i="15"/>
  <c r="F213" i="15"/>
  <c r="E213" i="15"/>
  <c r="P212" i="15"/>
  <c r="N212" i="15"/>
  <c r="L212" i="15"/>
  <c r="J212" i="15"/>
  <c r="I212" i="15"/>
  <c r="G212" i="15"/>
  <c r="F212" i="15"/>
  <c r="E212" i="15"/>
  <c r="P211" i="15"/>
  <c r="N211" i="15"/>
  <c r="L211" i="15"/>
  <c r="J211" i="15"/>
  <c r="I211" i="15"/>
  <c r="G211" i="15"/>
  <c r="F211" i="15"/>
  <c r="E211" i="15"/>
  <c r="P210" i="15"/>
  <c r="N210" i="15"/>
  <c r="L210" i="15"/>
  <c r="J210" i="15"/>
  <c r="I210" i="15"/>
  <c r="G210" i="15"/>
  <c r="F210" i="15"/>
  <c r="E210" i="15"/>
  <c r="P209" i="15"/>
  <c r="P208" i="15"/>
  <c r="P207" i="15"/>
  <c r="I207" i="15"/>
  <c r="H202" i="15"/>
  <c r="H198" i="15"/>
  <c r="Q196" i="15"/>
  <c r="J196" i="15"/>
  <c r="G196" i="15"/>
  <c r="W193" i="15"/>
  <c r="V193" i="15"/>
  <c r="U193" i="15"/>
  <c r="T193" i="15"/>
  <c r="S193" i="15"/>
  <c r="R193" i="15"/>
  <c r="Q193" i="15"/>
  <c r="P193" i="15"/>
  <c r="J169" i="15" s="1"/>
  <c r="P192" i="15"/>
  <c r="N192" i="15"/>
  <c r="L192" i="15"/>
  <c r="J192" i="15"/>
  <c r="I192" i="15"/>
  <c r="G192" i="15"/>
  <c r="F192" i="15"/>
  <c r="E192" i="15"/>
  <c r="P191" i="15"/>
  <c r="N191" i="15"/>
  <c r="L191" i="15"/>
  <c r="J191" i="15"/>
  <c r="I191" i="15"/>
  <c r="G191" i="15"/>
  <c r="F191" i="15"/>
  <c r="E191" i="15"/>
  <c r="P190" i="15"/>
  <c r="N190" i="15"/>
  <c r="L190" i="15"/>
  <c r="J190" i="15"/>
  <c r="I190" i="15"/>
  <c r="G190" i="15"/>
  <c r="F190" i="15"/>
  <c r="E190" i="15"/>
  <c r="P189" i="15"/>
  <c r="N189" i="15"/>
  <c r="L189" i="15"/>
  <c r="J189" i="15"/>
  <c r="I189" i="15"/>
  <c r="G189" i="15"/>
  <c r="F189" i="15"/>
  <c r="E189" i="15"/>
  <c r="P188" i="15"/>
  <c r="N188" i="15"/>
  <c r="L188" i="15"/>
  <c r="J188" i="15"/>
  <c r="I188" i="15"/>
  <c r="G188" i="15"/>
  <c r="F188" i="15"/>
  <c r="E188" i="15"/>
  <c r="P187" i="15"/>
  <c r="N187" i="15"/>
  <c r="L187" i="15"/>
  <c r="J187" i="15"/>
  <c r="I187" i="15"/>
  <c r="G187" i="15"/>
  <c r="F187" i="15"/>
  <c r="E187" i="15"/>
  <c r="P186" i="15"/>
  <c r="N186" i="15"/>
  <c r="L186" i="15"/>
  <c r="J186" i="15"/>
  <c r="I186" i="15"/>
  <c r="G186" i="15"/>
  <c r="F186" i="15"/>
  <c r="E186" i="15"/>
  <c r="P185" i="15"/>
  <c r="P184" i="15"/>
  <c r="P183" i="15"/>
  <c r="P182" i="15"/>
  <c r="P181" i="15"/>
  <c r="P180" i="15"/>
  <c r="I180" i="15"/>
  <c r="H175" i="15"/>
  <c r="G175" i="15" s="1"/>
  <c r="I175" i="15" s="1"/>
  <c r="H171" i="15"/>
  <c r="G171" i="15" s="1"/>
  <c r="Q169" i="15"/>
  <c r="G169" i="15"/>
  <c r="W166" i="15"/>
  <c r="V166" i="15"/>
  <c r="U166" i="15"/>
  <c r="T166" i="15"/>
  <c r="S166" i="15"/>
  <c r="R166" i="15"/>
  <c r="Q166" i="15"/>
  <c r="P166" i="15"/>
  <c r="J142" i="15" s="1"/>
  <c r="P165" i="15"/>
  <c r="N165" i="15"/>
  <c r="L165" i="15"/>
  <c r="J165" i="15"/>
  <c r="I165" i="15"/>
  <c r="G165" i="15"/>
  <c r="F165" i="15"/>
  <c r="E165" i="15"/>
  <c r="P164" i="15"/>
  <c r="N164" i="15"/>
  <c r="L164" i="15"/>
  <c r="J164" i="15"/>
  <c r="I164" i="15"/>
  <c r="G164" i="15"/>
  <c r="F164" i="15"/>
  <c r="E164" i="15"/>
  <c r="P163" i="15"/>
  <c r="N163" i="15"/>
  <c r="L163" i="15"/>
  <c r="J163" i="15"/>
  <c r="I163" i="15"/>
  <c r="G163" i="15"/>
  <c r="F163" i="15"/>
  <c r="E163" i="15"/>
  <c r="P162" i="15"/>
  <c r="N162" i="15"/>
  <c r="L162" i="15"/>
  <c r="J162" i="15"/>
  <c r="I162" i="15"/>
  <c r="G162" i="15"/>
  <c r="F162" i="15"/>
  <c r="E162" i="15"/>
  <c r="P161" i="15"/>
  <c r="N161" i="15"/>
  <c r="L161" i="15"/>
  <c r="J161" i="15"/>
  <c r="I161" i="15"/>
  <c r="G161" i="15"/>
  <c r="F161" i="15"/>
  <c r="E161" i="15"/>
  <c r="P160" i="15"/>
  <c r="N160" i="15"/>
  <c r="L160" i="15"/>
  <c r="J160" i="15"/>
  <c r="I160" i="15"/>
  <c r="G160" i="15"/>
  <c r="F160" i="15"/>
  <c r="E160" i="15"/>
  <c r="P159" i="15"/>
  <c r="N159" i="15"/>
  <c r="L159" i="15"/>
  <c r="J159" i="15"/>
  <c r="I159" i="15"/>
  <c r="G159" i="15"/>
  <c r="F159" i="15"/>
  <c r="E159" i="15"/>
  <c r="P158" i="15"/>
  <c r="N158" i="15"/>
  <c r="L158" i="15"/>
  <c r="J158" i="15"/>
  <c r="I158" i="15"/>
  <c r="G158" i="15"/>
  <c r="F158" i="15"/>
  <c r="E158" i="15"/>
  <c r="P157" i="15"/>
  <c r="P156" i="15"/>
  <c r="P155" i="15"/>
  <c r="P154" i="15"/>
  <c r="P153" i="15"/>
  <c r="I153" i="15"/>
  <c r="H148" i="15"/>
  <c r="G148" i="15"/>
  <c r="H144" i="15"/>
  <c r="G144" i="15" s="1"/>
  <c r="Q142" i="15"/>
  <c r="G142" i="15"/>
  <c r="M72" i="10"/>
  <c r="M73" i="10" s="1" a="1"/>
  <c r="M73" i="10" s="1"/>
  <c r="W139" i="15"/>
  <c r="V139" i="15"/>
  <c r="U139" i="15"/>
  <c r="T139" i="15"/>
  <c r="S139" i="15"/>
  <c r="R139" i="15"/>
  <c r="Q139" i="15"/>
  <c r="P139" i="15"/>
  <c r="J115" i="15" s="1"/>
  <c r="P138" i="15"/>
  <c r="N138" i="15"/>
  <c r="L138" i="15"/>
  <c r="J138" i="15"/>
  <c r="I138" i="15"/>
  <c r="G138" i="15"/>
  <c r="F138" i="15"/>
  <c r="E138" i="15"/>
  <c r="P137" i="15"/>
  <c r="N137" i="15"/>
  <c r="L137" i="15"/>
  <c r="J137" i="15"/>
  <c r="I137" i="15"/>
  <c r="G137" i="15"/>
  <c r="F137" i="15"/>
  <c r="E137" i="15"/>
  <c r="P136" i="15"/>
  <c r="N136" i="15"/>
  <c r="L136" i="15"/>
  <c r="J136" i="15"/>
  <c r="I136" i="15"/>
  <c r="G136" i="15"/>
  <c r="F136" i="15"/>
  <c r="E136" i="15"/>
  <c r="P135" i="15"/>
  <c r="N135" i="15"/>
  <c r="L135" i="15"/>
  <c r="J135" i="15"/>
  <c r="I135" i="15"/>
  <c r="G135" i="15"/>
  <c r="F135" i="15"/>
  <c r="E135" i="15"/>
  <c r="P134" i="15"/>
  <c r="N134" i="15"/>
  <c r="L134" i="15"/>
  <c r="J134" i="15"/>
  <c r="I134" i="15"/>
  <c r="G134" i="15"/>
  <c r="F134" i="15"/>
  <c r="E134" i="15"/>
  <c r="P133" i="15"/>
  <c r="N133" i="15"/>
  <c r="L133" i="15"/>
  <c r="J133" i="15"/>
  <c r="I133" i="15"/>
  <c r="G133" i="15"/>
  <c r="F133" i="15"/>
  <c r="E133" i="15"/>
  <c r="P132" i="15"/>
  <c r="N132" i="15"/>
  <c r="L132" i="15"/>
  <c r="J132" i="15"/>
  <c r="I132" i="15"/>
  <c r="G132" i="15"/>
  <c r="F132" i="15"/>
  <c r="E132" i="15"/>
  <c r="P131" i="15"/>
  <c r="N131" i="15"/>
  <c r="L131" i="15"/>
  <c r="J131" i="15"/>
  <c r="I131" i="15"/>
  <c r="G131" i="15"/>
  <c r="F131" i="15"/>
  <c r="E131" i="15"/>
  <c r="P130" i="15"/>
  <c r="N130" i="15"/>
  <c r="L130" i="15"/>
  <c r="J130" i="15"/>
  <c r="I130" i="15"/>
  <c r="G130" i="15"/>
  <c r="F130" i="15"/>
  <c r="E130" i="15"/>
  <c r="P129" i="15"/>
  <c r="P128" i="15"/>
  <c r="P127" i="15"/>
  <c r="P126" i="15"/>
  <c r="I126" i="15"/>
  <c r="H121" i="15"/>
  <c r="H117" i="15"/>
  <c r="G117" i="15" s="1"/>
  <c r="I117" i="15" s="1"/>
  <c r="Q115" i="15"/>
  <c r="G115" i="15"/>
  <c r="Q1" i="7"/>
  <c r="Q12" i="7"/>
  <c r="R12" i="7"/>
  <c r="Q11" i="7"/>
  <c r="Q10" i="7"/>
  <c r="R10" i="7"/>
  <c r="Q9" i="7"/>
  <c r="R9" i="7"/>
  <c r="Q8" i="7"/>
  <c r="Q7" i="7"/>
  <c r="Q6" i="7"/>
  <c r="Q5" i="7"/>
  <c r="Q4" i="7"/>
  <c r="Q3" i="7"/>
  <c r="Q2" i="7"/>
  <c r="P1" i="7"/>
  <c r="V9" i="2"/>
  <c r="V10" i="2"/>
  <c r="V12" i="2"/>
  <c r="U3" i="2"/>
  <c r="U4" i="2"/>
  <c r="U5" i="2"/>
  <c r="U6" i="2"/>
  <c r="U7" i="2"/>
  <c r="U8" i="2"/>
  <c r="U9" i="2"/>
  <c r="U10" i="2"/>
  <c r="U11" i="2"/>
  <c r="U12" i="2"/>
  <c r="U2" i="2"/>
  <c r="T1" i="2"/>
  <c r="V6" i="2" s="1"/>
  <c r="C6" i="21"/>
  <c r="C6" i="20"/>
  <c r="C6" i="23"/>
  <c r="C6" i="24"/>
  <c r="C6" i="25"/>
  <c r="C6" i="26"/>
  <c r="C6" i="27"/>
  <c r="C6" i="28"/>
  <c r="C6" i="29"/>
  <c r="C6" i="30"/>
  <c r="C6" i="31"/>
  <c r="C6" i="22"/>
  <c r="C56" i="10" a="1"/>
  <c r="C56" i="10" s="1"/>
  <c r="W112" i="15"/>
  <c r="V112" i="15"/>
  <c r="U112" i="15"/>
  <c r="T112" i="15"/>
  <c r="S112" i="15"/>
  <c r="R112" i="15"/>
  <c r="Q112" i="15"/>
  <c r="P112" i="15"/>
  <c r="J88" i="15" s="1"/>
  <c r="P111" i="15"/>
  <c r="N111" i="15"/>
  <c r="L111" i="15"/>
  <c r="J111" i="15"/>
  <c r="I111" i="15"/>
  <c r="G111" i="15"/>
  <c r="F111" i="15"/>
  <c r="E111" i="15"/>
  <c r="P110" i="15"/>
  <c r="N110" i="15"/>
  <c r="L110" i="15"/>
  <c r="J110" i="15"/>
  <c r="I110" i="15"/>
  <c r="G110" i="15"/>
  <c r="F110" i="15"/>
  <c r="E110" i="15"/>
  <c r="P109" i="15"/>
  <c r="N109" i="15"/>
  <c r="L109" i="15"/>
  <c r="J109" i="15"/>
  <c r="I109" i="15"/>
  <c r="G109" i="15"/>
  <c r="F109" i="15"/>
  <c r="E109" i="15"/>
  <c r="P108" i="15"/>
  <c r="N108" i="15"/>
  <c r="L108" i="15"/>
  <c r="J108" i="15"/>
  <c r="I108" i="15"/>
  <c r="G108" i="15"/>
  <c r="F108" i="15"/>
  <c r="E108" i="15"/>
  <c r="P107" i="15"/>
  <c r="N107" i="15"/>
  <c r="L107" i="15"/>
  <c r="J107" i="15"/>
  <c r="I107" i="15"/>
  <c r="G107" i="15"/>
  <c r="F107" i="15"/>
  <c r="E107" i="15"/>
  <c r="P106" i="15"/>
  <c r="N106" i="15"/>
  <c r="L106" i="15"/>
  <c r="J106" i="15"/>
  <c r="I106" i="15"/>
  <c r="G106" i="15"/>
  <c r="F106" i="15"/>
  <c r="E106" i="15"/>
  <c r="P105" i="15"/>
  <c r="N105" i="15"/>
  <c r="L105" i="15"/>
  <c r="J105" i="15"/>
  <c r="I105" i="15"/>
  <c r="G105" i="15"/>
  <c r="F105" i="15"/>
  <c r="E105" i="15"/>
  <c r="P104" i="15"/>
  <c r="N104" i="15"/>
  <c r="L104" i="15"/>
  <c r="J104" i="15"/>
  <c r="I104" i="15"/>
  <c r="G104" i="15"/>
  <c r="F104" i="15"/>
  <c r="E104" i="15"/>
  <c r="P103" i="15"/>
  <c r="P102" i="15"/>
  <c r="P101" i="15"/>
  <c r="P100" i="15"/>
  <c r="P99" i="15"/>
  <c r="I99" i="15"/>
  <c r="H94" i="15"/>
  <c r="G94" i="15" s="1"/>
  <c r="H90" i="15"/>
  <c r="G90" i="15" s="1"/>
  <c r="I90" i="15" s="1"/>
  <c r="P90" i="15" s="1"/>
  <c r="Q88" i="15"/>
  <c r="G88" i="15"/>
  <c r="G34" i="15"/>
  <c r="Q34" i="15"/>
  <c r="C36" i="15"/>
  <c r="H36" i="15"/>
  <c r="G36" i="15" s="1"/>
  <c r="W36" i="15"/>
  <c r="D37" i="15"/>
  <c r="D38" i="15" s="1"/>
  <c r="H40" i="15"/>
  <c r="G40" i="15" s="1"/>
  <c r="I40" i="15" s="1"/>
  <c r="P40" i="15" s="1"/>
  <c r="Q43" i="15"/>
  <c r="I45" i="15"/>
  <c r="P45" i="15"/>
  <c r="I46" i="15"/>
  <c r="P46" i="15"/>
  <c r="E47" i="15"/>
  <c r="F47" i="15"/>
  <c r="G47" i="15"/>
  <c r="I47" i="15"/>
  <c r="N47" i="15"/>
  <c r="P47" i="15"/>
  <c r="E48" i="15"/>
  <c r="F48" i="15"/>
  <c r="G48" i="15"/>
  <c r="I48" i="15"/>
  <c r="J48" i="15"/>
  <c r="L48" i="15"/>
  <c r="N48" i="15"/>
  <c r="P48" i="15"/>
  <c r="E49" i="15"/>
  <c r="G49" i="15"/>
  <c r="I49" i="15"/>
  <c r="J49" i="15"/>
  <c r="L49" i="15"/>
  <c r="N49" i="15"/>
  <c r="P49" i="15"/>
  <c r="E50" i="15"/>
  <c r="G50" i="15"/>
  <c r="I50" i="15"/>
  <c r="J50" i="15"/>
  <c r="L50" i="15"/>
  <c r="N50" i="15"/>
  <c r="P50" i="15"/>
  <c r="E51" i="15"/>
  <c r="G51" i="15"/>
  <c r="I51" i="15"/>
  <c r="J51" i="15"/>
  <c r="L51" i="15"/>
  <c r="N51" i="15"/>
  <c r="P51" i="15"/>
  <c r="E52" i="15"/>
  <c r="G52" i="15"/>
  <c r="I52" i="15"/>
  <c r="J52" i="15"/>
  <c r="L52" i="15"/>
  <c r="N52" i="15"/>
  <c r="P52" i="15"/>
  <c r="E53" i="15"/>
  <c r="G53" i="15"/>
  <c r="I53" i="15"/>
  <c r="J53" i="15"/>
  <c r="L53" i="15"/>
  <c r="N53" i="15"/>
  <c r="P53" i="15"/>
  <c r="E54" i="15"/>
  <c r="G54" i="15"/>
  <c r="I54" i="15"/>
  <c r="J54" i="15"/>
  <c r="L54" i="15"/>
  <c r="N54" i="15"/>
  <c r="P54" i="15"/>
  <c r="E55" i="15"/>
  <c r="G55" i="15"/>
  <c r="I55" i="15"/>
  <c r="J55" i="15"/>
  <c r="L55" i="15"/>
  <c r="N55" i="15"/>
  <c r="P55" i="15"/>
  <c r="E56" i="15"/>
  <c r="G56" i="15"/>
  <c r="I56" i="15"/>
  <c r="J56" i="15"/>
  <c r="L56" i="15"/>
  <c r="N56" i="15"/>
  <c r="P56" i="15"/>
  <c r="E57" i="15"/>
  <c r="F57" i="15"/>
  <c r="G57" i="15"/>
  <c r="I57" i="15"/>
  <c r="J57" i="15"/>
  <c r="L57" i="15"/>
  <c r="N57" i="15"/>
  <c r="P57" i="15"/>
  <c r="C3" i="10"/>
  <c r="C16" i="10"/>
  <c r="C17" i="10" a="1"/>
  <c r="C17" i="10" s="1"/>
  <c r="W58" i="15"/>
  <c r="V58" i="15"/>
  <c r="U58" i="15"/>
  <c r="T58" i="15"/>
  <c r="S58" i="15"/>
  <c r="R58" i="15"/>
  <c r="Q58" i="15"/>
  <c r="P58" i="15"/>
  <c r="J34" i="15" s="1"/>
  <c r="E60" i="15"/>
  <c r="E87" i="15" s="1"/>
  <c r="E114" i="15" s="1"/>
  <c r="E141" i="15" s="1"/>
  <c r="E168" i="15" s="1"/>
  <c r="E195" i="15" s="1"/>
  <c r="E222" i="15" s="1"/>
  <c r="E249" i="15" s="1"/>
  <c r="W85" i="15"/>
  <c r="V85" i="15"/>
  <c r="U85" i="15"/>
  <c r="T85" i="15"/>
  <c r="S85" i="15"/>
  <c r="R85" i="15"/>
  <c r="Q85" i="15"/>
  <c r="P85" i="15"/>
  <c r="J61" i="15"/>
  <c r="P84" i="15"/>
  <c r="N84" i="15"/>
  <c r="L84" i="15"/>
  <c r="J84" i="15"/>
  <c r="I84" i="15"/>
  <c r="G84" i="15"/>
  <c r="F84" i="15"/>
  <c r="E84" i="15"/>
  <c r="P83" i="15"/>
  <c r="N83" i="15"/>
  <c r="L83" i="15"/>
  <c r="J83" i="15"/>
  <c r="I83" i="15"/>
  <c r="G83" i="15"/>
  <c r="F83" i="15"/>
  <c r="E83" i="15"/>
  <c r="P82" i="15"/>
  <c r="N82" i="15"/>
  <c r="L82" i="15"/>
  <c r="J82" i="15"/>
  <c r="I82" i="15"/>
  <c r="G82" i="15"/>
  <c r="F82" i="15"/>
  <c r="E82" i="15"/>
  <c r="P81" i="15"/>
  <c r="N81" i="15"/>
  <c r="L81" i="15"/>
  <c r="J81" i="15"/>
  <c r="I81" i="15"/>
  <c r="G81" i="15"/>
  <c r="F81" i="15"/>
  <c r="E81" i="15"/>
  <c r="P80" i="15"/>
  <c r="N80" i="15"/>
  <c r="L80" i="15"/>
  <c r="J80" i="15"/>
  <c r="I80" i="15"/>
  <c r="G80" i="15"/>
  <c r="F80" i="15"/>
  <c r="E80" i="15"/>
  <c r="P79" i="15"/>
  <c r="N79" i="15"/>
  <c r="L79" i="15"/>
  <c r="J79" i="15"/>
  <c r="I79" i="15"/>
  <c r="G79" i="15"/>
  <c r="F79" i="15"/>
  <c r="E79" i="15"/>
  <c r="P78" i="15"/>
  <c r="P77" i="15"/>
  <c r="P76" i="15"/>
  <c r="P75" i="15"/>
  <c r="P74" i="15"/>
  <c r="P73" i="15"/>
  <c r="P72" i="15"/>
  <c r="I72" i="15"/>
  <c r="H67" i="15"/>
  <c r="H63" i="15"/>
  <c r="G63" i="15"/>
  <c r="Q61" i="15"/>
  <c r="G61" i="15"/>
  <c r="M82" i="10"/>
  <c r="M59" i="10"/>
  <c r="M60" i="10" s="1" a="1"/>
  <c r="M60" i="10" s="1"/>
  <c r="M46" i="10"/>
  <c r="M47" i="10" s="1" a="1"/>
  <c r="M47" i="10" s="1"/>
  <c r="M33" i="10"/>
  <c r="M34" i="10" s="1" a="1"/>
  <c r="M34" i="10" s="1"/>
  <c r="M16" i="10"/>
  <c r="M3" i="10"/>
  <c r="N3" i="10" s="1"/>
  <c r="O3" i="10" s="1"/>
  <c r="M4" i="10" a="1"/>
  <c r="M4" i="10" s="1"/>
  <c r="C68" i="10"/>
  <c r="D68" i="10" s="1"/>
  <c r="E68" i="10" s="1"/>
  <c r="C42" i="10"/>
  <c r="C43" i="10" s="1" a="1"/>
  <c r="C43" i="10" s="1"/>
  <c r="C29" i="10"/>
  <c r="D29" i="10" s="1"/>
  <c r="C30" i="10" a="1"/>
  <c r="C30" i="10" s="1"/>
  <c r="A30" i="16"/>
  <c r="A31" i="16"/>
  <c r="A32" i="16"/>
  <c r="A33" i="16"/>
  <c r="A34" i="16"/>
  <c r="A35" i="16"/>
  <c r="A36" i="16"/>
  <c r="D63" i="15"/>
  <c r="C63" i="15" s="1"/>
  <c r="D16" i="9" a="1"/>
  <c r="D16" i="9" s="1"/>
  <c r="D7" i="7" s="1"/>
  <c r="C13" i="31"/>
  <c r="D13" i="31"/>
  <c r="C13" i="30"/>
  <c r="D13" i="30"/>
  <c r="C13" i="29"/>
  <c r="D13" i="29"/>
  <c r="C13" i="28"/>
  <c r="D13" i="28"/>
  <c r="C13" i="27"/>
  <c r="D13" i="27"/>
  <c r="C13" i="26"/>
  <c r="D13" i="26"/>
  <c r="C13" i="25"/>
  <c r="D13" i="25"/>
  <c r="C13" i="24"/>
  <c r="D13" i="24"/>
  <c r="C13" i="23"/>
  <c r="D13" i="23"/>
  <c r="C13" i="21"/>
  <c r="D13" i="21"/>
  <c r="A18" i="31"/>
  <c r="A19" i="31"/>
  <c r="C11" i="31"/>
  <c r="A18" i="30"/>
  <c r="A19" i="30"/>
  <c r="C11" i="30"/>
  <c r="A18" i="29"/>
  <c r="A19" i="29"/>
  <c r="C11" i="29"/>
  <c r="A18" i="28"/>
  <c r="A19" i="28"/>
  <c r="C11" i="28"/>
  <c r="A18" i="27"/>
  <c r="A19" i="27"/>
  <c r="C11" i="27"/>
  <c r="A18" i="26"/>
  <c r="A19" i="26"/>
  <c r="C11" i="26"/>
  <c r="A18" i="25"/>
  <c r="A19" i="25"/>
  <c r="C11" i="25"/>
  <c r="A18" i="24"/>
  <c r="A19" i="24"/>
  <c r="C11" i="24"/>
  <c r="A18" i="23"/>
  <c r="A19" i="23"/>
  <c r="C11" i="23"/>
  <c r="C11" i="22"/>
  <c r="A18" i="21"/>
  <c r="A19" i="21"/>
  <c r="C11" i="21"/>
  <c r="C13" i="20"/>
  <c r="D13" i="20"/>
  <c r="A18" i="20"/>
  <c r="A19" i="20"/>
  <c r="A20" i="20"/>
  <c r="C11" i="20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2" i="16"/>
  <c r="K3" i="16"/>
  <c r="D13" i="9"/>
  <c r="D5" i="7" s="1"/>
  <c r="K5" i="16"/>
  <c r="K4" i="16"/>
  <c r="K7" i="16"/>
  <c r="A20" i="31"/>
  <c r="A20" i="30"/>
  <c r="A20" i="29"/>
  <c r="A20" i="28"/>
  <c r="A20" i="27"/>
  <c r="A20" i="26"/>
  <c r="A20" i="25"/>
  <c r="A20" i="24"/>
  <c r="A20" i="23"/>
  <c r="A20" i="21"/>
  <c r="A21" i="20"/>
  <c r="D16" i="10"/>
  <c r="E16" i="10" s="1"/>
  <c r="E18" i="10" s="1"/>
  <c r="E20" i="10" s="1"/>
  <c r="E22" i="10" s="1"/>
  <c r="D3" i="10"/>
  <c r="A2" i="16"/>
  <c r="A3" i="16"/>
  <c r="D33" i="9"/>
  <c r="L74" i="10"/>
  <c r="L61" i="10"/>
  <c r="L48" i="10"/>
  <c r="L35" i="10"/>
  <c r="L37" i="10" s="1"/>
  <c r="M37" i="10" s="1"/>
  <c r="M38" i="10" s="1" a="1"/>
  <c r="M38" i="10" s="1"/>
  <c r="M35" i="10"/>
  <c r="M36" i="10" s="1" a="1"/>
  <c r="M36" i="10" s="1"/>
  <c r="L18" i="10"/>
  <c r="M18" i="10" s="1"/>
  <c r="L5" i="10"/>
  <c r="B70" i="10"/>
  <c r="C70" i="10" s="1"/>
  <c r="C71" i="10" s="1" a="1"/>
  <c r="C71" i="10" s="1"/>
  <c r="B57" i="10"/>
  <c r="B44" i="10"/>
  <c r="B31" i="10"/>
  <c r="C31" i="10"/>
  <c r="C32" i="10" a="1"/>
  <c r="C32" i="10" s="1"/>
  <c r="B33" i="10"/>
  <c r="B18" i="10"/>
  <c r="B20" i="10" s="1"/>
  <c r="C20" i="10" s="1"/>
  <c r="C21" i="10" s="1" a="1"/>
  <c r="C21" i="10" s="1"/>
  <c r="B5" i="10"/>
  <c r="C5" i="10" s="1"/>
  <c r="C6" i="10" s="1" a="1"/>
  <c r="C6" i="10" s="1"/>
  <c r="L7" i="10"/>
  <c r="L9" i="10" s="1"/>
  <c r="M9" i="10" s="1"/>
  <c r="M5" i="10"/>
  <c r="M6" i="10" s="1" a="1"/>
  <c r="M6" i="10" s="1"/>
  <c r="L50" i="10"/>
  <c r="M50" i="10" s="1"/>
  <c r="M51" i="10" s="1" a="1"/>
  <c r="M51" i="10" s="1"/>
  <c r="M48" i="10"/>
  <c r="M49" i="10" s="1" a="1"/>
  <c r="M49" i="10" s="1"/>
  <c r="L63" i="10"/>
  <c r="L65" i="10" s="1"/>
  <c r="M61" i="10"/>
  <c r="M62" i="10" s="1" a="1"/>
  <c r="M62" i="10" s="1"/>
  <c r="B46" i="10"/>
  <c r="C44" i="10"/>
  <c r="B59" i="10"/>
  <c r="C57" i="10"/>
  <c r="C58" i="10" s="1" a="1"/>
  <c r="C58" i="10" s="1"/>
  <c r="A4" i="16"/>
  <c r="K6" i="16"/>
  <c r="K8" i="16"/>
  <c r="A21" i="31"/>
  <c r="A21" i="30"/>
  <c r="A21" i="29"/>
  <c r="A21" i="28"/>
  <c r="A21" i="27"/>
  <c r="A21" i="26"/>
  <c r="A21" i="25"/>
  <c r="A21" i="24"/>
  <c r="A21" i="23"/>
  <c r="A21" i="21"/>
  <c r="A22" i="20"/>
  <c r="L52" i="10"/>
  <c r="M52" i="10" s="1"/>
  <c r="M53" i="10" s="1" a="1"/>
  <c r="M53" i="10" s="1"/>
  <c r="B61" i="10"/>
  <c r="C59" i="10"/>
  <c r="C60" i="10" s="1" a="1"/>
  <c r="C60" i="10" s="1"/>
  <c r="K10" i="16"/>
  <c r="K9" i="16"/>
  <c r="A5" i="16"/>
  <c r="H23" i="16"/>
  <c r="D34" i="9"/>
  <c r="A22" i="31"/>
  <c r="A22" i="30"/>
  <c r="A22" i="29"/>
  <c r="A22" i="28"/>
  <c r="A22" i="27"/>
  <c r="A22" i="26"/>
  <c r="A22" i="25"/>
  <c r="A22" i="24"/>
  <c r="A22" i="23"/>
  <c r="A22" i="21"/>
  <c r="A23" i="20"/>
  <c r="A6" i="16"/>
  <c r="A7" i="16"/>
  <c r="K12" i="16"/>
  <c r="K11" i="16"/>
  <c r="K13" i="16"/>
  <c r="A23" i="31"/>
  <c r="A23" i="30"/>
  <c r="A23" i="29"/>
  <c r="A23" i="28"/>
  <c r="A23" i="27"/>
  <c r="A23" i="26"/>
  <c r="A23" i="25"/>
  <c r="A23" i="24"/>
  <c r="A23" i="23"/>
  <c r="A23" i="21"/>
  <c r="A24" i="20"/>
  <c r="H92" i="15"/>
  <c r="A8" i="16"/>
  <c r="K15" i="16"/>
  <c r="A9" i="16"/>
  <c r="K14" i="16"/>
  <c r="A10" i="16"/>
  <c r="K16" i="16"/>
  <c r="K18" i="16"/>
  <c r="A24" i="31"/>
  <c r="A24" i="30"/>
  <c r="A24" i="29"/>
  <c r="A24" i="28"/>
  <c r="A24" i="27"/>
  <c r="A24" i="26"/>
  <c r="A24" i="25"/>
  <c r="A24" i="24"/>
  <c r="A24" i="23"/>
  <c r="A24" i="21"/>
  <c r="A25" i="20"/>
  <c r="H93" i="15"/>
  <c r="A11" i="16"/>
  <c r="A12" i="16"/>
  <c r="A13" i="16"/>
  <c r="A14" i="16"/>
  <c r="K17" i="16"/>
  <c r="K19" i="16"/>
  <c r="A25" i="31"/>
  <c r="A25" i="30"/>
  <c r="A25" i="29"/>
  <c r="A25" i="28"/>
  <c r="A25" i="27"/>
  <c r="A25" i="26"/>
  <c r="A25" i="25"/>
  <c r="A25" i="24"/>
  <c r="A25" i="23"/>
  <c r="A25" i="21"/>
  <c r="A26" i="20"/>
  <c r="A26" i="31"/>
  <c r="A26" i="30"/>
  <c r="A26" i="29"/>
  <c r="A26" i="28"/>
  <c r="A26" i="27"/>
  <c r="A26" i="26"/>
  <c r="A26" i="25"/>
  <c r="A26" i="24"/>
  <c r="A26" i="23"/>
  <c r="A26" i="21"/>
  <c r="A27" i="20"/>
  <c r="A27" i="31"/>
  <c r="A27" i="30"/>
  <c r="A27" i="29"/>
  <c r="A27" i="28"/>
  <c r="A27" i="27"/>
  <c r="A27" i="26"/>
  <c r="A27" i="25"/>
  <c r="A27" i="24"/>
  <c r="A27" i="23"/>
  <c r="A27" i="21"/>
  <c r="A28" i="20"/>
  <c r="A28" i="31"/>
  <c r="A28" i="30"/>
  <c r="A28" i="29"/>
  <c r="A28" i="28"/>
  <c r="A28" i="27"/>
  <c r="A28" i="26"/>
  <c r="A28" i="25"/>
  <c r="A28" i="24"/>
  <c r="A28" i="23"/>
  <c r="A28" i="21"/>
  <c r="A29" i="20"/>
  <c r="A29" i="31"/>
  <c r="A29" i="30"/>
  <c r="A29" i="29"/>
  <c r="A29" i="28"/>
  <c r="A29" i="27"/>
  <c r="A29" i="26"/>
  <c r="A29" i="25"/>
  <c r="A29" i="24"/>
  <c r="A29" i="23"/>
  <c r="A29" i="21"/>
  <c r="A30" i="20"/>
  <c r="A30" i="31"/>
  <c r="A30" i="30"/>
  <c r="A30" i="29"/>
  <c r="A30" i="28"/>
  <c r="A30" i="27"/>
  <c r="A30" i="26"/>
  <c r="A30" i="25"/>
  <c r="A30" i="24"/>
  <c r="A30" i="23"/>
  <c r="A30" i="21"/>
  <c r="A31" i="20"/>
  <c r="A31" i="31"/>
  <c r="A31" i="30"/>
  <c r="A31" i="29"/>
  <c r="A31" i="28"/>
  <c r="A31" i="27"/>
  <c r="A31" i="26"/>
  <c r="A31" i="25"/>
  <c r="A31" i="24"/>
  <c r="A31" i="23"/>
  <c r="A31" i="21"/>
  <c r="A32" i="20"/>
  <c r="A32" i="31"/>
  <c r="A32" i="30"/>
  <c r="A32" i="29"/>
  <c r="A32" i="28"/>
  <c r="A32" i="27"/>
  <c r="A32" i="26"/>
  <c r="A32" i="25"/>
  <c r="A32" i="24"/>
  <c r="A32" i="23"/>
  <c r="A32" i="21"/>
  <c r="A33" i="20"/>
  <c r="A33" i="31"/>
  <c r="A33" i="30"/>
  <c r="A33" i="29"/>
  <c r="A33" i="28"/>
  <c r="A33" i="27"/>
  <c r="A33" i="26"/>
  <c r="A33" i="25"/>
  <c r="A33" i="24"/>
  <c r="A33" i="23"/>
  <c r="A33" i="21"/>
  <c r="A34" i="20"/>
  <c r="A34" i="31"/>
  <c r="A34" i="30"/>
  <c r="A34" i="29"/>
  <c r="A34" i="28"/>
  <c r="A34" i="27"/>
  <c r="A34" i="26"/>
  <c r="A34" i="25"/>
  <c r="A34" i="24"/>
  <c r="A34" i="23"/>
  <c r="A34" i="21"/>
  <c r="A35" i="20"/>
  <c r="A35" i="31"/>
  <c r="A35" i="30"/>
  <c r="A35" i="29"/>
  <c r="A35" i="28"/>
  <c r="A35" i="27"/>
  <c r="A35" i="26"/>
  <c r="A35" i="25"/>
  <c r="A35" i="24"/>
  <c r="A35" i="23"/>
  <c r="A35" i="21"/>
  <c r="A36" i="20"/>
  <c r="A36" i="31"/>
  <c r="A36" i="30"/>
  <c r="A36" i="29"/>
  <c r="A36" i="28"/>
  <c r="A36" i="27"/>
  <c r="A36" i="26"/>
  <c r="A36" i="25"/>
  <c r="A36" i="24"/>
  <c r="A36" i="23"/>
  <c r="A36" i="21"/>
  <c r="A37" i="20"/>
  <c r="A37" i="31"/>
  <c r="A37" i="30"/>
  <c r="A37" i="29"/>
  <c r="A37" i="28"/>
  <c r="A37" i="27"/>
  <c r="A37" i="26"/>
  <c r="A37" i="25"/>
  <c r="A37" i="24"/>
  <c r="A37" i="23"/>
  <c r="A37" i="21"/>
  <c r="A38" i="20"/>
  <c r="A38" i="31"/>
  <c r="A38" i="30"/>
  <c r="A38" i="29"/>
  <c r="A38" i="28"/>
  <c r="A38" i="27"/>
  <c r="A38" i="26"/>
  <c r="A38" i="25"/>
  <c r="A38" i="24"/>
  <c r="A38" i="23"/>
  <c r="A38" i="21"/>
  <c r="A39" i="20"/>
  <c r="A39" i="31"/>
  <c r="A39" i="30"/>
  <c r="A39" i="29"/>
  <c r="A39" i="28"/>
  <c r="A39" i="27"/>
  <c r="A39" i="26"/>
  <c r="A39" i="25"/>
  <c r="A39" i="24"/>
  <c r="A39" i="23"/>
  <c r="A39" i="21"/>
  <c r="A40" i="20"/>
  <c r="A40" i="31"/>
  <c r="A40" i="30"/>
  <c r="A40" i="29"/>
  <c r="A40" i="28"/>
  <c r="A40" i="27"/>
  <c r="A40" i="26"/>
  <c r="A40" i="25"/>
  <c r="A40" i="24"/>
  <c r="A40" i="23"/>
  <c r="A40" i="21"/>
  <c r="A41" i="20"/>
  <c r="A41" i="31"/>
  <c r="A41" i="30"/>
  <c r="A41" i="29"/>
  <c r="A41" i="28"/>
  <c r="A41" i="27"/>
  <c r="A41" i="26"/>
  <c r="A41" i="25"/>
  <c r="A41" i="24"/>
  <c r="A41" i="23"/>
  <c r="A41" i="21"/>
  <c r="A42" i="20"/>
  <c r="A42" i="31"/>
  <c r="A42" i="30"/>
  <c r="A42" i="29"/>
  <c r="A42" i="28"/>
  <c r="A42" i="27"/>
  <c r="A42" i="26"/>
  <c r="A42" i="25"/>
  <c r="A42" i="24"/>
  <c r="A42" i="23"/>
  <c r="A42" i="21"/>
  <c r="A43" i="20"/>
  <c r="A43" i="31"/>
  <c r="A43" i="30"/>
  <c r="A43" i="29"/>
  <c r="A43" i="28"/>
  <c r="A43" i="27"/>
  <c r="A43" i="26"/>
  <c r="A43" i="25"/>
  <c r="A43" i="24"/>
  <c r="A43" i="23"/>
  <c r="A43" i="21"/>
  <c r="A44" i="20"/>
  <c r="A44" i="31"/>
  <c r="A44" i="30"/>
  <c r="A44" i="29"/>
  <c r="A44" i="28"/>
  <c r="A44" i="27"/>
  <c r="A44" i="26"/>
  <c r="A44" i="25"/>
  <c r="A44" i="24"/>
  <c r="A44" i="23"/>
  <c r="A44" i="21"/>
  <c r="A45" i="20"/>
  <c r="A45" i="31"/>
  <c r="A45" i="30"/>
  <c r="A45" i="29"/>
  <c r="A45" i="28"/>
  <c r="A45" i="27"/>
  <c r="A45" i="26"/>
  <c r="A45" i="25"/>
  <c r="A45" i="24"/>
  <c r="A45" i="23"/>
  <c r="A45" i="21"/>
  <c r="A46" i="20"/>
  <c r="A46" i="31"/>
  <c r="A46" i="30"/>
  <c r="A46" i="29"/>
  <c r="A46" i="28"/>
  <c r="A46" i="27"/>
  <c r="A46" i="26"/>
  <c r="A46" i="25"/>
  <c r="A46" i="24"/>
  <c r="A46" i="23"/>
  <c r="A46" i="21"/>
  <c r="A47" i="20"/>
  <c r="A47" i="31"/>
  <c r="A47" i="30"/>
  <c r="A47" i="29"/>
  <c r="A47" i="28"/>
  <c r="A47" i="27"/>
  <c r="A47" i="26"/>
  <c r="A47" i="24"/>
  <c r="A47" i="23"/>
  <c r="A47" i="21"/>
  <c r="A18" i="22"/>
  <c r="A19" i="22"/>
  <c r="C13" i="22"/>
  <c r="D13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N2" i="32" l="1"/>
  <c r="G15" i="32"/>
  <c r="I15" i="32" s="1"/>
  <c r="K15" i="32" s="1"/>
  <c r="G32" i="32"/>
  <c r="I32" i="32" s="1"/>
  <c r="K32" i="32" s="1"/>
  <c r="I18" i="32"/>
  <c r="K18" i="32" s="1"/>
  <c r="I19" i="32"/>
  <c r="K19" i="32" s="1"/>
  <c r="I20" i="32"/>
  <c r="K20" i="32" s="1"/>
  <c r="I28" i="32"/>
  <c r="K28" i="32" s="1"/>
  <c r="N23" i="32" s="1"/>
  <c r="K35" i="32"/>
  <c r="G34" i="32"/>
  <c r="I43" i="32"/>
  <c r="K43" i="32" s="1"/>
  <c r="I40" i="32"/>
  <c r="K40" i="32" s="1"/>
  <c r="I42" i="32"/>
  <c r="K42" i="32" s="1"/>
  <c r="G49" i="32"/>
  <c r="I49" i="32" s="1"/>
  <c r="K49" i="32" s="1"/>
  <c r="N107" i="32"/>
  <c r="G47" i="32"/>
  <c r="I47" i="32" s="1"/>
  <c r="K47" i="32" s="1"/>
  <c r="N114" i="32"/>
  <c r="I55" i="32"/>
  <c r="K55" i="32" s="1"/>
  <c r="F68" i="10"/>
  <c r="E70" i="10"/>
  <c r="P3" i="10"/>
  <c r="P5" i="10" s="1"/>
  <c r="O5" i="10"/>
  <c r="C69" i="10" a="1"/>
  <c r="C69" i="10" s="1"/>
  <c r="L54" i="10"/>
  <c r="M54" i="10" s="1"/>
  <c r="M55" i="10" s="1" a="1"/>
  <c r="M55" i="10" s="1"/>
  <c r="L39" i="10"/>
  <c r="L41" i="10" s="1"/>
  <c r="M41" i="10" s="1"/>
  <c r="M42" i="10" s="1" a="1"/>
  <c r="M42" i="10" s="1"/>
  <c r="M7" i="10"/>
  <c r="B72" i="10"/>
  <c r="D18" i="10"/>
  <c r="D20" i="10" s="1"/>
  <c r="D17" i="10" a="1"/>
  <c r="D17" i="10" s="1"/>
  <c r="M63" i="10"/>
  <c r="M64" i="10" s="1" a="1"/>
  <c r="M64" i="10" s="1"/>
  <c r="I53" i="32"/>
  <c r="K53" i="32" s="1"/>
  <c r="I95" i="32"/>
  <c r="K95" i="32" s="1"/>
  <c r="K69" i="32"/>
  <c r="K68" i="32"/>
  <c r="K61" i="32"/>
  <c r="K70" i="32"/>
  <c r="K63" i="32"/>
  <c r="G62" i="32"/>
  <c r="I62" i="32" s="1"/>
  <c r="I75" i="32"/>
  <c r="I124" i="32"/>
  <c r="K124" i="32" s="1"/>
  <c r="I126" i="32"/>
  <c r="K126" i="32" s="1"/>
  <c r="G97" i="32"/>
  <c r="I97" i="32" s="1"/>
  <c r="K97" i="32" s="1"/>
  <c r="I127" i="32"/>
  <c r="K127" i="32" s="1"/>
  <c r="I77" i="32"/>
  <c r="I99" i="32"/>
  <c r="K99" i="32" s="1"/>
  <c r="G130" i="32"/>
  <c r="I130" i="32" s="1"/>
  <c r="K130" i="32" s="1"/>
  <c r="G131" i="32"/>
  <c r="I131" i="32" s="1"/>
  <c r="K131" i="32" s="1"/>
  <c r="I78" i="32"/>
  <c r="I98" i="32"/>
  <c r="K98" i="32" s="1"/>
  <c r="I102" i="32"/>
  <c r="K102" i="32" s="1"/>
  <c r="G90" i="32"/>
  <c r="I90" i="32" s="1"/>
  <c r="K90" i="32" s="1"/>
  <c r="N86" i="32" s="1"/>
  <c r="I81" i="32"/>
  <c r="K81" i="32" s="1"/>
  <c r="G103" i="32"/>
  <c r="I103" i="32" s="1"/>
  <c r="K103" i="32" s="1"/>
  <c r="I104" i="32"/>
  <c r="K104" i="32" s="1"/>
  <c r="I82" i="32"/>
  <c r="K82" i="32" s="1"/>
  <c r="G76" i="32"/>
  <c r="I76" i="32" s="1"/>
  <c r="I133" i="32"/>
  <c r="K133" i="32" s="1"/>
  <c r="I67" i="32"/>
  <c r="I134" i="32"/>
  <c r="K134" i="32" s="1"/>
  <c r="G3" i="15"/>
  <c r="J6" i="15"/>
  <c r="P6" i="15"/>
  <c r="C7" i="15"/>
  <c r="D8" i="15"/>
  <c r="R13" i="15"/>
  <c r="W7" i="15"/>
  <c r="I36" i="15"/>
  <c r="P36" i="15" s="1"/>
  <c r="S36" i="15" s="1"/>
  <c r="I63" i="15"/>
  <c r="P63" i="15" s="1"/>
  <c r="R63" i="15" s="1"/>
  <c r="D64" i="15"/>
  <c r="D65" i="15" s="1"/>
  <c r="W63" i="15"/>
  <c r="Q70" i="15"/>
  <c r="D57" i="10"/>
  <c r="D56" i="10" a="1"/>
  <c r="D56" i="10" s="1"/>
  <c r="D22" i="10"/>
  <c r="D24" i="10" s="1"/>
  <c r="D21" i="10" a="1"/>
  <c r="D21" i="10" s="1"/>
  <c r="E29" i="10"/>
  <c r="D30" i="10" a="1"/>
  <c r="D30" i="10" s="1"/>
  <c r="D31" i="10"/>
  <c r="E23" i="10" a="1"/>
  <c r="E23" i="10" s="1"/>
  <c r="E24" i="10"/>
  <c r="D69" i="10" a="1"/>
  <c r="D69" i="10" s="1"/>
  <c r="D19" i="10" a="1"/>
  <c r="D19" i="10" s="1"/>
  <c r="L11" i="10"/>
  <c r="M11" i="10" s="1"/>
  <c r="B63" i="10"/>
  <c r="C63" i="10" s="1"/>
  <c r="C61" i="10"/>
  <c r="C62" i="10" s="1" a="1"/>
  <c r="C62" i="10" s="1"/>
  <c r="E3" i="10"/>
  <c r="D5" i="10"/>
  <c r="D7" i="10" s="1"/>
  <c r="D9" i="10" s="1"/>
  <c r="F16" i="10"/>
  <c r="E17" i="10" a="1"/>
  <c r="E17" i="10" s="1"/>
  <c r="B48" i="10"/>
  <c r="C46" i="10"/>
  <c r="C47" i="10" s="1" a="1"/>
  <c r="C47" i="10" s="1"/>
  <c r="F70" i="10"/>
  <c r="G68" i="10"/>
  <c r="D70" i="10"/>
  <c r="B22" i="10"/>
  <c r="B7" i="10"/>
  <c r="M74" i="10"/>
  <c r="M75" i="10" s="1" a="1"/>
  <c r="M75" i="10" s="1"/>
  <c r="L76" i="10"/>
  <c r="L67" i="10"/>
  <c r="M67" i="10" s="1"/>
  <c r="M68" i="10" s="1" a="1"/>
  <c r="M68" i="10" s="1"/>
  <c r="M65" i="10"/>
  <c r="M66" i="10" s="1" a="1"/>
  <c r="M66" i="10" s="1"/>
  <c r="N16" i="10"/>
  <c r="C33" i="10"/>
  <c r="C34" i="10" s="1" a="1"/>
  <c r="C34" i="10" s="1"/>
  <c r="B35" i="10"/>
  <c r="C18" i="10"/>
  <c r="C19" i="10" s="1" a="1"/>
  <c r="C19" i="10" s="1"/>
  <c r="N4" i="10" a="1"/>
  <c r="N4" i="10" s="1"/>
  <c r="N5" i="10"/>
  <c r="L20" i="10"/>
  <c r="I144" i="15"/>
  <c r="G93" i="15"/>
  <c r="I93" i="15" s="1"/>
  <c r="P93" i="15" s="1"/>
  <c r="I94" i="15"/>
  <c r="P94" i="15" s="1"/>
  <c r="G67" i="15"/>
  <c r="I67" i="15" s="1"/>
  <c r="I252" i="15"/>
  <c r="P252" i="15" s="1"/>
  <c r="I148" i="15"/>
  <c r="P148" i="15" s="1"/>
  <c r="G92" i="15"/>
  <c r="I92" i="15" s="1"/>
  <c r="P92" i="15" s="1"/>
  <c r="G15" i="9"/>
  <c r="J36" i="15"/>
  <c r="B63" i="15"/>
  <c r="X63" i="15" s="1"/>
  <c r="K63" i="15"/>
  <c r="S43" i="15"/>
  <c r="D39" i="15"/>
  <c r="C38" i="15"/>
  <c r="W38" i="15"/>
  <c r="C37" i="15"/>
  <c r="R43" i="15"/>
  <c r="W37" i="15"/>
  <c r="K36" i="15"/>
  <c r="B36" i="15"/>
  <c r="X36" i="15" s="1"/>
  <c r="R36" i="15"/>
  <c r="D90" i="15"/>
  <c r="P175" i="15"/>
  <c r="A15" i="16"/>
  <c r="I171" i="15"/>
  <c r="P144" i="15"/>
  <c r="G121" i="15"/>
  <c r="G256" i="15"/>
  <c r="I256" i="15" s="1"/>
  <c r="P229" i="15"/>
  <c r="D14" i="7"/>
  <c r="G225" i="15"/>
  <c r="I225" i="15" s="1"/>
  <c r="G202" i="15"/>
  <c r="I202" i="15" s="1"/>
  <c r="D9" i="7"/>
  <c r="G198" i="15"/>
  <c r="I198" i="15" s="1"/>
  <c r="D10" i="7"/>
  <c r="R7" i="7"/>
  <c r="D3" i="7"/>
  <c r="P117" i="15"/>
  <c r="R6" i="7"/>
  <c r="I9" i="9"/>
  <c r="V7" i="2"/>
  <c r="V11" i="2"/>
  <c r="R8" i="7"/>
  <c r="V4" i="2"/>
  <c r="V5" i="2"/>
  <c r="V8" i="2"/>
  <c r="V3" i="2"/>
  <c r="R5" i="7"/>
  <c r="R4" i="7"/>
  <c r="R3" i="7"/>
  <c r="R2" i="7"/>
  <c r="I4" i="9"/>
  <c r="I5" i="9"/>
  <c r="V2" i="2"/>
  <c r="I7" i="9"/>
  <c r="I10" i="9"/>
  <c r="I11" i="9"/>
  <c r="I6" i="9"/>
  <c r="R11" i="7"/>
  <c r="I8" i="9"/>
  <c r="M39" i="10" l="1"/>
  <c r="M40" i="10" s="1" a="1"/>
  <c r="M40" i="10" s="1"/>
  <c r="I34" i="32"/>
  <c r="K34" i="32" s="1"/>
  <c r="N30" i="32" s="1"/>
  <c r="N16" i="32"/>
  <c r="N37" i="32"/>
  <c r="N93" i="32"/>
  <c r="N44" i="32"/>
  <c r="N79" i="32"/>
  <c r="N51" i="32"/>
  <c r="N121" i="32"/>
  <c r="E72" i="10"/>
  <c r="C72" i="10"/>
  <c r="C73" i="10" s="1" a="1"/>
  <c r="C73" i="10" s="1"/>
  <c r="B74" i="10"/>
  <c r="O7" i="10"/>
  <c r="O6" i="10" a="1"/>
  <c r="O6" i="10" s="1"/>
  <c r="Q3" i="10"/>
  <c r="P4" i="10" a="1"/>
  <c r="P4" i="10" s="1"/>
  <c r="N100" i="32"/>
  <c r="N128" i="32"/>
  <c r="K67" i="32"/>
  <c r="N65" i="32" s="1"/>
  <c r="K78" i="32"/>
  <c r="K77" i="32"/>
  <c r="K75" i="32"/>
  <c r="K62" i="32"/>
  <c r="N58" i="32" s="1"/>
  <c r="K76" i="32"/>
  <c r="S6" i="15"/>
  <c r="R6" i="15"/>
  <c r="D9" i="15"/>
  <c r="W8" i="15"/>
  <c r="S13" i="15"/>
  <c r="C8" i="15"/>
  <c r="K7" i="15"/>
  <c r="B7" i="15"/>
  <c r="X7" i="15" s="1"/>
  <c r="R7" i="15"/>
  <c r="J7" i="15"/>
  <c r="S7" i="15"/>
  <c r="S63" i="15"/>
  <c r="J63" i="15"/>
  <c r="C64" i="15"/>
  <c r="K64" i="15" s="1"/>
  <c r="W64" i="15"/>
  <c r="R70" i="15"/>
  <c r="B50" i="10"/>
  <c r="C48" i="10"/>
  <c r="B37" i="10"/>
  <c r="C37" i="10" s="1"/>
  <c r="C38" i="10" s="1" a="1"/>
  <c r="C38" i="10" s="1"/>
  <c r="C35" i="10"/>
  <c r="C36" i="10" s="1" a="1"/>
  <c r="C36" i="10" s="1"/>
  <c r="O16" i="10"/>
  <c r="N18" i="10"/>
  <c r="E30" i="10" a="1"/>
  <c r="E30" i="10" s="1"/>
  <c r="F29" i="10"/>
  <c r="E31" i="10"/>
  <c r="F71" i="10" a="1"/>
  <c r="F71" i="10" s="1"/>
  <c r="F72" i="10"/>
  <c r="D33" i="10"/>
  <c r="D32" i="10" a="1"/>
  <c r="D32" i="10" s="1"/>
  <c r="L78" i="10"/>
  <c r="M76" i="10"/>
  <c r="M77" i="10" s="1" a="1"/>
  <c r="M77" i="10" s="1"/>
  <c r="E5" i="10"/>
  <c r="F3" i="10"/>
  <c r="P7" i="10"/>
  <c r="D72" i="10"/>
  <c r="D71" i="10" a="1"/>
  <c r="D71" i="10" s="1"/>
  <c r="G69" i="10" a="1"/>
  <c r="G69" i="10" s="1"/>
  <c r="H68" i="10"/>
  <c r="G70" i="10"/>
  <c r="F18" i="10"/>
  <c r="G16" i="10"/>
  <c r="F17" i="10" a="1"/>
  <c r="F17" i="10" s="1"/>
  <c r="N7" i="10"/>
  <c r="B9" i="10"/>
  <c r="C7" i="10"/>
  <c r="C8" i="10" s="1" a="1"/>
  <c r="C8" i="10" s="1"/>
  <c r="D11" i="10"/>
  <c r="D10" i="10" a="1"/>
  <c r="D10" i="10" s="1"/>
  <c r="M20" i="10"/>
  <c r="L22" i="10"/>
  <c r="E57" i="10"/>
  <c r="E56" i="10" a="1"/>
  <c r="E56" i="10" s="1"/>
  <c r="B24" i="10"/>
  <c r="C24" i="10" s="1"/>
  <c r="C25" i="10" s="1" a="1"/>
  <c r="C25" i="10" s="1"/>
  <c r="C22" i="10"/>
  <c r="C23" i="10" s="1" a="1"/>
  <c r="C23" i="10" s="1"/>
  <c r="D58" i="10" a="1"/>
  <c r="D58" i="10" s="1"/>
  <c r="D59" i="10"/>
  <c r="P67" i="15"/>
  <c r="S70" i="15"/>
  <c r="D66" i="15"/>
  <c r="W65" i="15"/>
  <c r="C65" i="15"/>
  <c r="H38" i="15"/>
  <c r="B38" i="15"/>
  <c r="X38" i="15" s="1"/>
  <c r="W39" i="15"/>
  <c r="C39" i="15"/>
  <c r="D40" i="15"/>
  <c r="T43" i="15"/>
  <c r="B37" i="15"/>
  <c r="X37" i="15" s="1"/>
  <c r="H64" i="15"/>
  <c r="D117" i="15"/>
  <c r="C90" i="15"/>
  <c r="D91" i="15"/>
  <c r="Q97" i="15"/>
  <c r="W90" i="15"/>
  <c r="A16" i="16"/>
  <c r="P171" i="15"/>
  <c r="I121" i="15"/>
  <c r="P256" i="15"/>
  <c r="P225" i="15"/>
  <c r="D11" i="7"/>
  <c r="P198" i="15"/>
  <c r="P202" i="15"/>
  <c r="D14" i="9"/>
  <c r="D6" i="7" s="1"/>
  <c r="E74" i="10" l="1"/>
  <c r="R3" i="10"/>
  <c r="Q5" i="10"/>
  <c r="O9" i="10"/>
  <c r="B76" i="10"/>
  <c r="C76" i="10" s="1"/>
  <c r="C77" i="10" s="1" a="1"/>
  <c r="C77" i="10" s="1"/>
  <c r="C74" i="10"/>
  <c r="C75" i="10" s="1" a="1"/>
  <c r="C75" i="10" s="1"/>
  <c r="N72" i="32"/>
  <c r="R8" i="15"/>
  <c r="J8" i="15"/>
  <c r="B8" i="15"/>
  <c r="X8" i="15" s="1"/>
  <c r="S8" i="15"/>
  <c r="K8" i="15"/>
  <c r="D10" i="15"/>
  <c r="T13" i="15"/>
  <c r="C9" i="15"/>
  <c r="W9" i="15"/>
  <c r="B64" i="15"/>
  <c r="X64" i="15" s="1"/>
  <c r="L80" i="10"/>
  <c r="M80" i="10" s="1"/>
  <c r="M78" i="10"/>
  <c r="M79" i="10" s="1" a="1"/>
  <c r="M79" i="10" s="1"/>
  <c r="F57" i="10"/>
  <c r="G55" i="10"/>
  <c r="F56" i="10" a="1"/>
  <c r="F56" i="10" s="1"/>
  <c r="F74" i="10"/>
  <c r="O18" i="10"/>
  <c r="P16" i="10"/>
  <c r="P9" i="10"/>
  <c r="E58" i="10" a="1"/>
  <c r="E58" i="10" s="1"/>
  <c r="E59" i="10"/>
  <c r="G18" i="10"/>
  <c r="G20" i="10" s="1"/>
  <c r="G22" i="10" s="1"/>
  <c r="G24" i="10" s="1"/>
  <c r="G17" i="10" a="1"/>
  <c r="G17" i="10" s="1"/>
  <c r="H16" i="10"/>
  <c r="G72" i="10"/>
  <c r="H70" i="10"/>
  <c r="I68" i="10"/>
  <c r="H69" i="10" a="1"/>
  <c r="H69" i="10" s="1"/>
  <c r="M22" i="10"/>
  <c r="L24" i="10"/>
  <c r="M24" i="10" s="1"/>
  <c r="D35" i="10"/>
  <c r="D34" i="10" a="1"/>
  <c r="D34" i="10" s="1"/>
  <c r="C9" i="10"/>
  <c r="C10" i="10" s="1" a="1"/>
  <c r="C10" i="10" s="1"/>
  <c r="B11" i="10"/>
  <c r="C11" i="10" s="1"/>
  <c r="C12" i="10" s="1" a="1"/>
  <c r="C12" i="10" s="1"/>
  <c r="G29" i="10"/>
  <c r="F30" i="10" a="1"/>
  <c r="F30" i="10" s="1"/>
  <c r="F31" i="10"/>
  <c r="N9" i="10"/>
  <c r="F20" i="10"/>
  <c r="F22" i="10" s="1"/>
  <c r="F24" i="10" s="1"/>
  <c r="F25" i="10" s="1" a="1"/>
  <c r="F25" i="10" s="1"/>
  <c r="F19" i="10" a="1"/>
  <c r="F19" i="10" s="1"/>
  <c r="E6" i="10" a="1"/>
  <c r="E6" i="10" s="1"/>
  <c r="E7" i="10"/>
  <c r="E33" i="10"/>
  <c r="E32" i="10" a="1"/>
  <c r="E32" i="10" s="1"/>
  <c r="N20" i="10"/>
  <c r="C50" i="10"/>
  <c r="C51" i="10" s="1" a="1"/>
  <c r="C51" i="10" s="1"/>
  <c r="D74" i="10"/>
  <c r="D73" i="10" a="1"/>
  <c r="D73" i="10" s="1"/>
  <c r="D61" i="10"/>
  <c r="G3" i="10"/>
  <c r="F5" i="10"/>
  <c r="G38" i="15"/>
  <c r="I38" i="15" s="1"/>
  <c r="K38" i="15"/>
  <c r="H37" i="15"/>
  <c r="D144" i="15"/>
  <c r="D118" i="15"/>
  <c r="W117" i="15"/>
  <c r="C117" i="15"/>
  <c r="Q124" i="15"/>
  <c r="K65" i="15"/>
  <c r="B65" i="15"/>
  <c r="X65" i="15" s="1"/>
  <c r="G64" i="15"/>
  <c r="I64" i="15" s="1"/>
  <c r="K37" i="15"/>
  <c r="B90" i="15"/>
  <c r="X90" i="15" s="1"/>
  <c r="S90" i="15"/>
  <c r="R90" i="15"/>
  <c r="K90" i="15"/>
  <c r="J90" i="15"/>
  <c r="C91" i="15"/>
  <c r="D92" i="15"/>
  <c r="W91" i="15"/>
  <c r="R97" i="15"/>
  <c r="U43" i="15"/>
  <c r="C40" i="15"/>
  <c r="W40" i="15"/>
  <c r="D41" i="15"/>
  <c r="H39" i="15"/>
  <c r="B39" i="15"/>
  <c r="X39" i="15" s="1"/>
  <c r="T70" i="15"/>
  <c r="W66" i="15"/>
  <c r="D67" i="15"/>
  <c r="C66" i="15"/>
  <c r="A17" i="16"/>
  <c r="P121" i="15"/>
  <c r="Q1" i="32"/>
  <c r="E76" i="10" l="1"/>
  <c r="E77" i="10" s="1" a="1"/>
  <c r="E77" i="10" s="1"/>
  <c r="E75" i="10" a="1"/>
  <c r="E75" i="10" s="1"/>
  <c r="O11" i="10"/>
  <c r="Q6" i="10" a="1"/>
  <c r="Q6" i="10" s="1"/>
  <c r="Q7" i="10"/>
  <c r="R5" i="10"/>
  <c r="S3" i="10"/>
  <c r="R4" i="10" a="1"/>
  <c r="R4" i="10" s="1"/>
  <c r="S9" i="15"/>
  <c r="R9" i="15"/>
  <c r="B9" i="15"/>
  <c r="X9" i="15" s="1"/>
  <c r="K9" i="15"/>
  <c r="J9" i="15"/>
  <c r="U13" i="15"/>
  <c r="C10" i="15"/>
  <c r="D11" i="15"/>
  <c r="W10" i="15"/>
  <c r="P11" i="10"/>
  <c r="E9" i="10"/>
  <c r="E11" i="10" s="1"/>
  <c r="E12" i="10" s="1" a="1"/>
  <c r="E12" i="10" s="1"/>
  <c r="E8" i="10" a="1"/>
  <c r="E8" i="10" s="1"/>
  <c r="F59" i="10"/>
  <c r="F61" i="10" s="1"/>
  <c r="F58" i="10" a="1"/>
  <c r="F58" i="10" s="1"/>
  <c r="D76" i="10"/>
  <c r="D77" i="10" s="1" a="1"/>
  <c r="D77" i="10" s="1"/>
  <c r="D37" i="10"/>
  <c r="D36" i="10" a="1"/>
  <c r="D36" i="10" s="1"/>
  <c r="G74" i="10"/>
  <c r="F7" i="10"/>
  <c r="F6" i="10" a="1"/>
  <c r="F6" i="10" s="1"/>
  <c r="F32" i="10" a="1"/>
  <c r="F32" i="10" s="1"/>
  <c r="F33" i="10"/>
  <c r="D63" i="10"/>
  <c r="D64" i="10" s="1" a="1"/>
  <c r="D64" i="10" s="1"/>
  <c r="N22" i="10"/>
  <c r="E35" i="10"/>
  <c r="E34" i="10" a="1"/>
  <c r="E34" i="10" s="1"/>
  <c r="E61" i="10"/>
  <c r="I16" i="10"/>
  <c r="H17" i="10" a="1"/>
  <c r="H17" i="10" s="1"/>
  <c r="H18" i="10"/>
  <c r="N11" i="10"/>
  <c r="Q16" i="10"/>
  <c r="P18" i="10"/>
  <c r="F76" i="10"/>
  <c r="F77" i="10" s="1" a="1"/>
  <c r="F77" i="10" s="1"/>
  <c r="I70" i="10"/>
  <c r="I69" i="10" a="1"/>
  <c r="I69" i="10" s="1"/>
  <c r="J68" i="10" s="1"/>
  <c r="H72" i="10"/>
  <c r="H71" i="10" a="1"/>
  <c r="H71" i="10" s="1"/>
  <c r="G5" i="10"/>
  <c r="G7" i="10" s="1"/>
  <c r="G9" i="10" s="1"/>
  <c r="G11" i="10" s="1"/>
  <c r="H3" i="10"/>
  <c r="O20" i="10"/>
  <c r="G30" i="10" a="1"/>
  <c r="G30" i="10" s="1"/>
  <c r="H29" i="10"/>
  <c r="G31" i="10"/>
  <c r="H55" i="10"/>
  <c r="G57" i="10"/>
  <c r="P38" i="15"/>
  <c r="J38" i="15"/>
  <c r="H91" i="15"/>
  <c r="B91" i="15"/>
  <c r="X91" i="15" s="1"/>
  <c r="K91" i="15"/>
  <c r="B117" i="15"/>
  <c r="X117" i="15" s="1"/>
  <c r="K117" i="15"/>
  <c r="J117" i="15"/>
  <c r="S117" i="15"/>
  <c r="R117" i="15"/>
  <c r="D42" i="15"/>
  <c r="V43" i="15"/>
  <c r="W41" i="15"/>
  <c r="C41" i="15"/>
  <c r="G65" i="15"/>
  <c r="I65" i="15" s="1"/>
  <c r="W92" i="15"/>
  <c r="D93" i="15"/>
  <c r="S97" i="15"/>
  <c r="C92" i="15"/>
  <c r="C67" i="15"/>
  <c r="D68" i="15"/>
  <c r="U70" i="15"/>
  <c r="W67" i="15"/>
  <c r="K39" i="15"/>
  <c r="D119" i="15"/>
  <c r="W118" i="15"/>
  <c r="C118" i="15"/>
  <c r="R124" i="15"/>
  <c r="B66" i="15"/>
  <c r="X66" i="15" s="1"/>
  <c r="H66" i="15"/>
  <c r="S40" i="15"/>
  <c r="J40" i="15"/>
  <c r="K40" i="15"/>
  <c r="R40" i="15"/>
  <c r="B40" i="15"/>
  <c r="X40" i="15" s="1"/>
  <c r="G39" i="15"/>
  <c r="I39" i="15"/>
  <c r="D145" i="15"/>
  <c r="W144" i="15"/>
  <c r="D171" i="15"/>
  <c r="C144" i="15"/>
  <c r="Q151" i="15"/>
  <c r="G37" i="15"/>
  <c r="I37" i="15" s="1"/>
  <c r="P64" i="15"/>
  <c r="J64" i="15"/>
  <c r="A18" i="16"/>
  <c r="Q9" i="10" l="1"/>
  <c r="S4" i="10" a="1"/>
  <c r="S4" i="10" s="1"/>
  <c r="T3" i="10" s="1"/>
  <c r="S5" i="10"/>
  <c r="R6" i="10" a="1"/>
  <c r="R6" i="10" s="1"/>
  <c r="R7" i="10"/>
  <c r="W11" i="15"/>
  <c r="V13" i="15"/>
  <c r="C11" i="15"/>
  <c r="D12" i="15"/>
  <c r="B19" i="21" s="1"/>
  <c r="B20" i="21"/>
  <c r="S10" i="15"/>
  <c r="R10" i="15"/>
  <c r="J10" i="15"/>
  <c r="B10" i="15"/>
  <c r="X10" i="15" s="1"/>
  <c r="K10" i="15"/>
  <c r="D38" i="10" a="1"/>
  <c r="D38" i="10" s="1"/>
  <c r="D42" i="10"/>
  <c r="G33" i="10"/>
  <c r="G32" i="10" a="1"/>
  <c r="G32" i="10" s="1"/>
  <c r="G76" i="10"/>
  <c r="G77" i="10" s="1" a="1"/>
  <c r="G77" i="10" s="1"/>
  <c r="G75" i="10" a="1"/>
  <c r="G75" i="10" s="1"/>
  <c r="Q18" i="10"/>
  <c r="R16" i="10"/>
  <c r="I71" i="10" a="1"/>
  <c r="I71" i="10" s="1"/>
  <c r="J70" i="10" s="1"/>
  <c r="I72" i="10"/>
  <c r="P20" i="10"/>
  <c r="H56" i="10" a="1"/>
  <c r="H56" i="10" s="1"/>
  <c r="I55" i="10"/>
  <c r="H57" i="10"/>
  <c r="F63" i="10"/>
  <c r="F64" i="10" s="1" a="1"/>
  <c r="F64" i="10" s="1"/>
  <c r="H5" i="10"/>
  <c r="H4" i="10" a="1"/>
  <c r="H4" i="10" s="1"/>
  <c r="I3" i="10"/>
  <c r="E37" i="10"/>
  <c r="E36" i="10" a="1"/>
  <c r="E36" i="10" s="1"/>
  <c r="N24" i="10"/>
  <c r="F9" i="10"/>
  <c r="F8" i="10" a="1"/>
  <c r="F8" i="10" s="1"/>
  <c r="F34" i="10" a="1"/>
  <c r="F34" i="10" s="1"/>
  <c r="F35" i="10"/>
  <c r="H19" i="10" a="1"/>
  <c r="H19" i="10" s="1"/>
  <c r="H20" i="10"/>
  <c r="I18" i="10"/>
  <c r="I17" i="10" a="1"/>
  <c r="I17" i="10" s="1"/>
  <c r="J16" i="10" s="1"/>
  <c r="E63" i="10"/>
  <c r="E64" i="10" s="1" a="1"/>
  <c r="E64" i="10" s="1"/>
  <c r="H73" i="10" a="1"/>
  <c r="H73" i="10" s="1"/>
  <c r="H74" i="10"/>
  <c r="G58" i="10" a="1"/>
  <c r="G58" i="10" s="1"/>
  <c r="G59" i="10"/>
  <c r="I29" i="10"/>
  <c r="H30" i="10" a="1"/>
  <c r="H30" i="10" s="1"/>
  <c r="H31" i="10"/>
  <c r="O22" i="10"/>
  <c r="P37" i="15"/>
  <c r="J37" i="15"/>
  <c r="C42" i="15"/>
  <c r="W42" i="15"/>
  <c r="W43" i="15"/>
  <c r="G66" i="15"/>
  <c r="I66" i="15" s="1"/>
  <c r="W145" i="15"/>
  <c r="D146" i="15"/>
  <c r="C145" i="15"/>
  <c r="R151" i="15"/>
  <c r="D120" i="15"/>
  <c r="S124" i="15"/>
  <c r="C119" i="15"/>
  <c r="W119" i="15"/>
  <c r="G91" i="15"/>
  <c r="I91" i="15" s="1"/>
  <c r="B144" i="15"/>
  <c r="X144" i="15" s="1"/>
  <c r="K144" i="15"/>
  <c r="J144" i="15"/>
  <c r="R144" i="15"/>
  <c r="S144" i="15"/>
  <c r="C171" i="15"/>
  <c r="D198" i="15"/>
  <c r="W171" i="15"/>
  <c r="D172" i="15"/>
  <c r="Q178" i="15"/>
  <c r="P39" i="15"/>
  <c r="J39" i="15"/>
  <c r="W68" i="15"/>
  <c r="D69" i="15"/>
  <c r="C68" i="15"/>
  <c r="V70" i="15"/>
  <c r="K92" i="15"/>
  <c r="S92" i="15"/>
  <c r="R92" i="15"/>
  <c r="B92" i="15"/>
  <c r="X92" i="15" s="1"/>
  <c r="J92" i="15"/>
  <c r="C93" i="15"/>
  <c r="D94" i="15"/>
  <c r="W93" i="15"/>
  <c r="T97" i="15"/>
  <c r="P65" i="15"/>
  <c r="J65" i="15"/>
  <c r="S64" i="15"/>
  <c r="R64" i="15"/>
  <c r="B118" i="15"/>
  <c r="X118" i="15" s="1"/>
  <c r="H118" i="15"/>
  <c r="K67" i="15"/>
  <c r="S67" i="15"/>
  <c r="B67" i="15"/>
  <c r="X67" i="15" s="1"/>
  <c r="J67" i="15"/>
  <c r="R67" i="15"/>
  <c r="K66" i="15"/>
  <c r="B41" i="15"/>
  <c r="X41" i="15" s="1"/>
  <c r="S41" i="15"/>
  <c r="K41" i="15"/>
  <c r="J41" i="15"/>
  <c r="H41" i="15"/>
  <c r="S38" i="15"/>
  <c r="R38" i="15"/>
  <c r="A19" i="16"/>
  <c r="S7" i="10" l="1"/>
  <c r="S6" i="10" a="1"/>
  <c r="S6" i="10" s="1"/>
  <c r="T5" i="10" s="1"/>
  <c r="Q11" i="10"/>
  <c r="R9" i="10"/>
  <c r="D21" i="21"/>
  <c r="F21" i="21" s="1"/>
  <c r="C22" i="21"/>
  <c r="B22" i="21"/>
  <c r="H23" i="21"/>
  <c r="H22" i="21"/>
  <c r="H20" i="21"/>
  <c r="D22" i="21"/>
  <c r="F22" i="21" s="1"/>
  <c r="B21" i="21"/>
  <c r="C20" i="21"/>
  <c r="C21" i="21"/>
  <c r="C23" i="21"/>
  <c r="H21" i="21"/>
  <c r="W13" i="15"/>
  <c r="C12" i="15"/>
  <c r="W12" i="15"/>
  <c r="B18" i="21"/>
  <c r="H18" i="21"/>
  <c r="C19" i="21"/>
  <c r="H19" i="21"/>
  <c r="C18" i="21"/>
  <c r="D18" i="21"/>
  <c r="F18" i="21" s="1"/>
  <c r="D20" i="21"/>
  <c r="F20" i="21" s="1"/>
  <c r="B11" i="15"/>
  <c r="X11" i="15" s="1"/>
  <c r="S11" i="15"/>
  <c r="R11" i="15"/>
  <c r="K11" i="15"/>
  <c r="J11" i="15"/>
  <c r="I74" i="10"/>
  <c r="I73" i="10" a="1"/>
  <c r="I73" i="10" s="1"/>
  <c r="J72" i="10" s="1"/>
  <c r="R18" i="10"/>
  <c r="S16" i="10"/>
  <c r="H75" i="10" a="1"/>
  <c r="H75" i="10" s="1"/>
  <c r="H76" i="10"/>
  <c r="H77" i="10" s="1" a="1"/>
  <c r="H77" i="10" s="1"/>
  <c r="F10" i="10" a="1"/>
  <c r="F10" i="10" s="1"/>
  <c r="F11" i="10"/>
  <c r="F12" i="10" s="1" a="1"/>
  <c r="F12" i="10" s="1"/>
  <c r="D43" i="10" a="1"/>
  <c r="D43" i="10" s="1"/>
  <c r="D44" i="10"/>
  <c r="O24" i="10"/>
  <c r="N33" i="10"/>
  <c r="H6" i="10" a="1"/>
  <c r="H6" i="10" s="1"/>
  <c r="H7" i="10"/>
  <c r="F37" i="10"/>
  <c r="F36" i="10" a="1"/>
  <c r="F36" i="10" s="1"/>
  <c r="I57" i="10"/>
  <c r="I56" i="10" a="1"/>
  <c r="I56" i="10" s="1"/>
  <c r="J55" i="10" s="1"/>
  <c r="P22" i="10"/>
  <c r="I20" i="10"/>
  <c r="I19" i="10" a="1"/>
  <c r="I19" i="10" s="1"/>
  <c r="J18" i="10" s="1"/>
  <c r="H21" i="10" a="1"/>
  <c r="H21" i="10" s="1"/>
  <c r="H22" i="10"/>
  <c r="Q20" i="10"/>
  <c r="G35" i="10"/>
  <c r="G34" i="10" a="1"/>
  <c r="G34" i="10" s="1"/>
  <c r="E42" i="10"/>
  <c r="E44" i="10" s="1"/>
  <c r="E46" i="10" s="1"/>
  <c r="E48" i="10" s="1"/>
  <c r="E50" i="10" s="1"/>
  <c r="E38" i="10" a="1"/>
  <c r="E38" i="10" s="1"/>
  <c r="I30" i="10" a="1"/>
  <c r="I30" i="10" s="1"/>
  <c r="J29" i="10" s="1"/>
  <c r="I31" i="10"/>
  <c r="I5" i="10"/>
  <c r="I4" i="10" a="1"/>
  <c r="I4" i="10" s="1"/>
  <c r="J3" i="10" s="1"/>
  <c r="G61" i="10"/>
  <c r="G60" i="10" a="1"/>
  <c r="G60" i="10" s="1"/>
  <c r="H33" i="10"/>
  <c r="H32" i="10" a="1"/>
  <c r="H32" i="10" s="1"/>
  <c r="H59" i="10"/>
  <c r="H58" i="10" a="1"/>
  <c r="H58" i="10" s="1"/>
  <c r="G41" i="15"/>
  <c r="D23" i="21" s="1"/>
  <c r="F23" i="21" s="1"/>
  <c r="P66" i="15"/>
  <c r="J66" i="15"/>
  <c r="S65" i="15"/>
  <c r="R65" i="15"/>
  <c r="W69" i="15"/>
  <c r="C69" i="15"/>
  <c r="W70" i="15"/>
  <c r="B119" i="15"/>
  <c r="X119" i="15" s="1"/>
  <c r="H119" i="15"/>
  <c r="S39" i="15"/>
  <c r="R39" i="15"/>
  <c r="C172" i="15"/>
  <c r="R178" i="15"/>
  <c r="D173" i="15"/>
  <c r="W172" i="15"/>
  <c r="W120" i="15"/>
  <c r="D121" i="15"/>
  <c r="T124" i="15"/>
  <c r="C120" i="15"/>
  <c r="G118" i="15"/>
  <c r="I118" i="15" s="1"/>
  <c r="W198" i="15"/>
  <c r="C198" i="15"/>
  <c r="Q205" i="15"/>
  <c r="D225" i="15"/>
  <c r="D199" i="15"/>
  <c r="B171" i="15"/>
  <c r="X171" i="15" s="1"/>
  <c r="K171" i="15"/>
  <c r="J171" i="15"/>
  <c r="S171" i="15"/>
  <c r="R171" i="15"/>
  <c r="B93" i="15"/>
  <c r="X93" i="15" s="1"/>
  <c r="R93" i="15"/>
  <c r="S93" i="15"/>
  <c r="J93" i="15"/>
  <c r="K93" i="15"/>
  <c r="W94" i="15"/>
  <c r="D95" i="15"/>
  <c r="C94" i="15"/>
  <c r="U97" i="15"/>
  <c r="B145" i="15"/>
  <c r="X145" i="15" s="1"/>
  <c r="P91" i="15"/>
  <c r="J91" i="15"/>
  <c r="K118" i="15"/>
  <c r="C146" i="15"/>
  <c r="D147" i="15"/>
  <c r="S151" i="15"/>
  <c r="W146" i="15"/>
  <c r="B68" i="15"/>
  <c r="X68" i="15" s="1"/>
  <c r="H68" i="15"/>
  <c r="J68" i="15"/>
  <c r="S68" i="15"/>
  <c r="K68" i="15"/>
  <c r="J42" i="15"/>
  <c r="J33" i="15" s="1"/>
  <c r="H42" i="15"/>
  <c r="S42" i="15"/>
  <c r="K42" i="15"/>
  <c r="B42" i="15"/>
  <c r="X42" i="15" s="1"/>
  <c r="S37" i="15"/>
  <c r="R37" i="15"/>
  <c r="A20" i="16"/>
  <c r="A23" i="16" s="1"/>
  <c r="A21" i="16"/>
  <c r="A22" i="16"/>
  <c r="H27" i="21"/>
  <c r="B35" i="21"/>
  <c r="D34" i="21"/>
  <c r="F34" i="21" s="1"/>
  <c r="H29" i="21"/>
  <c r="H37" i="21"/>
  <c r="D25" i="21"/>
  <c r="F25" i="21" s="1"/>
  <c r="B32" i="21"/>
  <c r="H24" i="21"/>
  <c r="B23" i="21"/>
  <c r="B28" i="21"/>
  <c r="B29" i="21"/>
  <c r="H35" i="21"/>
  <c r="C28" i="21"/>
  <c r="C36" i="21"/>
  <c r="D28" i="21"/>
  <c r="F28" i="21" s="1"/>
  <c r="R11" i="10" l="1"/>
  <c r="T7" i="10"/>
  <c r="S9" i="10"/>
  <c r="R12" i="15"/>
  <c r="R4" i="15" s="1"/>
  <c r="J12" i="15"/>
  <c r="J3" i="15" s="1"/>
  <c r="B12" i="15"/>
  <c r="X12" i="15" s="1"/>
  <c r="S12" i="15"/>
  <c r="S4" i="15" s="1"/>
  <c r="K12" i="15"/>
  <c r="I6" i="10" a="1"/>
  <c r="I6" i="10" s="1"/>
  <c r="I7" i="10"/>
  <c r="D45" i="10" a="1"/>
  <c r="D45" i="10" s="1"/>
  <c r="D46" i="10"/>
  <c r="I32" i="10" a="1"/>
  <c r="I32" i="10" s="1"/>
  <c r="J31" i="10" s="1"/>
  <c r="I33" i="10"/>
  <c r="I59" i="10"/>
  <c r="I58" i="10" a="1"/>
  <c r="I58" i="10" s="1"/>
  <c r="J57" i="10" s="1"/>
  <c r="R20" i="10"/>
  <c r="I22" i="10"/>
  <c r="I21" i="10" a="1"/>
  <c r="I21" i="10" s="1"/>
  <c r="J20" i="10" s="1"/>
  <c r="I75" i="10" a="1"/>
  <c r="I75" i="10" s="1"/>
  <c r="J74" i="10" s="1"/>
  <c r="I76" i="10"/>
  <c r="I77" i="10" s="1" a="1"/>
  <c r="I77" i="10" s="1"/>
  <c r="J76" i="10" s="1"/>
  <c r="F42" i="10"/>
  <c r="F38" i="10" a="1"/>
  <c r="F38" i="10" s="1"/>
  <c r="O33" i="10"/>
  <c r="H34" i="10" a="1"/>
  <c r="H34" i="10" s="1"/>
  <c r="H35" i="10"/>
  <c r="N35" i="10"/>
  <c r="G63" i="10"/>
  <c r="G62" i="10" a="1"/>
  <c r="G62" i="10" s="1"/>
  <c r="G37" i="10"/>
  <c r="G42" i="10" s="1"/>
  <c r="G44" i="10" s="1"/>
  <c r="G46" i="10" s="1"/>
  <c r="G48" i="10" s="1"/>
  <c r="G50" i="10" s="1"/>
  <c r="G36" i="10" a="1"/>
  <c r="G36" i="10" s="1"/>
  <c r="H23" i="10" a="1"/>
  <c r="H23" i="10" s="1"/>
  <c r="H24" i="10"/>
  <c r="H25" i="10" s="1" a="1"/>
  <c r="H25" i="10" s="1"/>
  <c r="S18" i="10"/>
  <c r="T16" i="10"/>
  <c r="P24" i="10"/>
  <c r="H9" i="10"/>
  <c r="H11" i="10" s="1"/>
  <c r="H12" i="10" s="1" a="1"/>
  <c r="H12" i="10" s="1"/>
  <c r="H8" i="10" a="1"/>
  <c r="H8" i="10" s="1"/>
  <c r="H61" i="10"/>
  <c r="H60" i="10" a="1"/>
  <c r="H60" i="10" s="1"/>
  <c r="J5" i="10"/>
  <c r="Q22" i="10"/>
  <c r="I41" i="15"/>
  <c r="P41" i="15" s="1"/>
  <c r="R41" i="15" s="1"/>
  <c r="W199" i="15"/>
  <c r="R205" i="15"/>
  <c r="D200" i="15"/>
  <c r="H145" i="15"/>
  <c r="K145" i="15"/>
  <c r="D226" i="15"/>
  <c r="C225" i="15"/>
  <c r="Q232" i="15"/>
  <c r="D252" i="15"/>
  <c r="W225" i="15"/>
  <c r="S94" i="15"/>
  <c r="K94" i="15"/>
  <c r="J94" i="15"/>
  <c r="B94" i="15"/>
  <c r="X94" i="15" s="1"/>
  <c r="R94" i="15"/>
  <c r="B198" i="15"/>
  <c r="X198" i="15" s="1"/>
  <c r="K198" i="15"/>
  <c r="J198" i="15"/>
  <c r="R198" i="15"/>
  <c r="S198" i="15"/>
  <c r="W121" i="15"/>
  <c r="C121" i="15"/>
  <c r="D122" i="15"/>
  <c r="U124" i="15"/>
  <c r="C95" i="15"/>
  <c r="W95" i="15"/>
  <c r="D96" i="15"/>
  <c r="D40" i="21" s="1"/>
  <c r="F40" i="21" s="1"/>
  <c r="V97" i="15"/>
  <c r="P118" i="15"/>
  <c r="J118" i="15"/>
  <c r="K119" i="15"/>
  <c r="T151" i="15"/>
  <c r="C147" i="15"/>
  <c r="W147" i="15"/>
  <c r="D148" i="15"/>
  <c r="B24" i="21"/>
  <c r="H146" i="15"/>
  <c r="B146" i="15"/>
  <c r="X146" i="15" s="1"/>
  <c r="K146" i="15"/>
  <c r="G68" i="15"/>
  <c r="D30" i="21" s="1"/>
  <c r="F30" i="21" s="1"/>
  <c r="B172" i="15"/>
  <c r="X172" i="15" s="1"/>
  <c r="I119" i="15"/>
  <c r="C173" i="15"/>
  <c r="D174" i="15"/>
  <c r="W173" i="15"/>
  <c r="S178" i="15"/>
  <c r="S91" i="15"/>
  <c r="R91" i="15"/>
  <c r="J69" i="15"/>
  <c r="J60" i="15" s="1"/>
  <c r="K69" i="15"/>
  <c r="B69" i="15"/>
  <c r="X69" i="15" s="1"/>
  <c r="S69" i="15"/>
  <c r="S34" i="15"/>
  <c r="S66" i="15"/>
  <c r="R66" i="15"/>
  <c r="G42" i="15"/>
  <c r="D24" i="21" s="1"/>
  <c r="F24" i="21" s="1"/>
  <c r="H120" i="15"/>
  <c r="B120" i="15"/>
  <c r="X120" i="15" s="1"/>
  <c r="A25" i="16"/>
  <c r="A26" i="16" s="1"/>
  <c r="A24" i="16"/>
  <c r="A27" i="16"/>
  <c r="A28" i="16" s="1"/>
  <c r="A29" i="16" s="1"/>
  <c r="C24" i="21"/>
  <c r="B26" i="21"/>
  <c r="D27" i="21"/>
  <c r="F27" i="21" s="1"/>
  <c r="H28" i="21"/>
  <c r="H25" i="21"/>
  <c r="C35" i="21"/>
  <c r="C33" i="21"/>
  <c r="B25" i="21"/>
  <c r="B30" i="21"/>
  <c r="C34" i="21"/>
  <c r="B34" i="21"/>
  <c r="H31" i="21"/>
  <c r="H33" i="21"/>
  <c r="D33" i="21"/>
  <c r="F33" i="21" s="1"/>
  <c r="C26" i="21"/>
  <c r="D26" i="21"/>
  <c r="F26" i="21" s="1"/>
  <c r="H30" i="21"/>
  <c r="H34" i="21"/>
  <c r="D32" i="21"/>
  <c r="F32" i="21" s="1"/>
  <c r="C31" i="21"/>
  <c r="H36" i="21"/>
  <c r="C25" i="21"/>
  <c r="C30" i="21"/>
  <c r="B33" i="21"/>
  <c r="H26" i="21"/>
  <c r="D36" i="21"/>
  <c r="F36" i="21" s="1"/>
  <c r="H32" i="21"/>
  <c r="C37" i="21"/>
  <c r="B27" i="21"/>
  <c r="C32" i="21"/>
  <c r="B36" i="21"/>
  <c r="D35" i="21"/>
  <c r="F35" i="21" s="1"/>
  <c r="C27" i="21"/>
  <c r="D29" i="21"/>
  <c r="F29" i="21" s="1"/>
  <c r="C29" i="21"/>
  <c r="S11" i="10" l="1"/>
  <c r="T11" i="10" s="1"/>
  <c r="T9" i="10"/>
  <c r="J78" i="10"/>
  <c r="O35" i="10"/>
  <c r="O36" i="10" s="1" a="1"/>
  <c r="O36" i="10" s="1"/>
  <c r="I23" i="10" a="1"/>
  <c r="I23" i="10" s="1"/>
  <c r="J22" i="10" s="1"/>
  <c r="I24" i="10"/>
  <c r="I25" i="10" s="1" a="1"/>
  <c r="I25" i="10" s="1"/>
  <c r="J24" i="10" s="1"/>
  <c r="S20" i="10"/>
  <c r="T18" i="10"/>
  <c r="I61" i="10"/>
  <c r="I60" i="10" a="1"/>
  <c r="I60" i="10" s="1"/>
  <c r="J59" i="10" s="1"/>
  <c r="F44" i="10"/>
  <c r="F43" i="10" a="1"/>
  <c r="F43" i="10" s="1"/>
  <c r="D48" i="10"/>
  <c r="I9" i="10"/>
  <c r="I8" i="10" a="1"/>
  <c r="I8" i="10" s="1"/>
  <c r="J7" i="10" s="1"/>
  <c r="N37" i="10"/>
  <c r="N38" i="10" s="1" a="1"/>
  <c r="N38" i="10" s="1"/>
  <c r="H36" i="10" a="1"/>
  <c r="H36" i="10" s="1"/>
  <c r="H37" i="10"/>
  <c r="H63" i="10"/>
  <c r="H64" i="10" s="1" a="1"/>
  <c r="H64" i="10" s="1"/>
  <c r="H62" i="10" a="1"/>
  <c r="H62" i="10" s="1"/>
  <c r="Q24" i="10"/>
  <c r="I35" i="10"/>
  <c r="I34" i="10" a="1"/>
  <c r="I34" i="10" s="1"/>
  <c r="J33" i="10" s="1"/>
  <c r="R22" i="10"/>
  <c r="P33" i="10"/>
  <c r="H39" i="21"/>
  <c r="B41" i="21"/>
  <c r="H43" i="21"/>
  <c r="D39" i="21"/>
  <c r="F39" i="21" s="1"/>
  <c r="H38" i="21"/>
  <c r="H44" i="21"/>
  <c r="C39" i="21"/>
  <c r="D41" i="21"/>
  <c r="F41" i="21" s="1"/>
  <c r="C38" i="21"/>
  <c r="B39" i="21"/>
  <c r="B43" i="21"/>
  <c r="B40" i="21"/>
  <c r="I68" i="15"/>
  <c r="P68" i="15" s="1"/>
  <c r="R68" i="15" s="1"/>
  <c r="W252" i="15"/>
  <c r="C252" i="15"/>
  <c r="D253" i="15"/>
  <c r="Q259" i="15"/>
  <c r="S61" i="15"/>
  <c r="B42" i="21"/>
  <c r="G120" i="15"/>
  <c r="D42" i="21" s="1"/>
  <c r="F42" i="21" s="1"/>
  <c r="I120" i="15"/>
  <c r="K120" i="15"/>
  <c r="R118" i="15"/>
  <c r="S118" i="15"/>
  <c r="H172" i="15"/>
  <c r="K172" i="15"/>
  <c r="G145" i="15"/>
  <c r="C200" i="15"/>
  <c r="D201" i="15"/>
  <c r="S205" i="15"/>
  <c r="W200" i="15"/>
  <c r="H147" i="15"/>
  <c r="B147" i="15"/>
  <c r="X147" i="15" s="1"/>
  <c r="W122" i="15"/>
  <c r="C122" i="15"/>
  <c r="V124" i="15"/>
  <c r="D123" i="15"/>
  <c r="K121" i="15"/>
  <c r="B121" i="15"/>
  <c r="X121" i="15" s="1"/>
  <c r="J121" i="15"/>
  <c r="S121" i="15"/>
  <c r="R121" i="15"/>
  <c r="P119" i="15"/>
  <c r="J119" i="15"/>
  <c r="H69" i="15"/>
  <c r="B31" i="21"/>
  <c r="C226" i="15"/>
  <c r="R232" i="15"/>
  <c r="D227" i="15"/>
  <c r="W226" i="15"/>
  <c r="B225" i="15"/>
  <c r="X225" i="15" s="1"/>
  <c r="K225" i="15"/>
  <c r="J225" i="15"/>
  <c r="R225" i="15"/>
  <c r="S225" i="15"/>
  <c r="I42" i="15"/>
  <c r="C174" i="15"/>
  <c r="W174" i="15"/>
  <c r="D175" i="15"/>
  <c r="T178" i="15"/>
  <c r="B173" i="15"/>
  <c r="X173" i="15" s="1"/>
  <c r="G146" i="15"/>
  <c r="I146" i="15" s="1"/>
  <c r="C96" i="15"/>
  <c r="W97" i="15"/>
  <c r="W96" i="15"/>
  <c r="H41" i="21"/>
  <c r="H42" i="21"/>
  <c r="B47" i="21"/>
  <c r="C42" i="21"/>
  <c r="C43" i="21"/>
  <c r="H40" i="21"/>
  <c r="C44" i="21"/>
  <c r="C40" i="21"/>
  <c r="D43" i="21"/>
  <c r="F43" i="21" s="1"/>
  <c r="B199" i="15"/>
  <c r="X199" i="15" s="1"/>
  <c r="C148" i="15"/>
  <c r="U151" i="15"/>
  <c r="D149" i="15"/>
  <c r="W148" i="15"/>
  <c r="J95" i="15"/>
  <c r="B95" i="15"/>
  <c r="X95" i="15" s="1"/>
  <c r="S95" i="15"/>
  <c r="K95" i="15"/>
  <c r="T13" i="10" l="1"/>
  <c r="J26" i="10"/>
  <c r="I10" i="10" a="1"/>
  <c r="I10" i="10" s="1"/>
  <c r="J9" i="10" s="1"/>
  <c r="I11" i="10"/>
  <c r="I12" i="10" s="1" a="1"/>
  <c r="I12" i="10" s="1"/>
  <c r="J11" i="10" s="1"/>
  <c r="J13" i="10" s="1"/>
  <c r="D49" i="10" a="1"/>
  <c r="D49" i="10" s="1"/>
  <c r="D50" i="10"/>
  <c r="D51" i="10" s="1" a="1"/>
  <c r="D51" i="10" s="1"/>
  <c r="F46" i="10"/>
  <c r="F45" i="10" a="1"/>
  <c r="F45" i="10" s="1"/>
  <c r="I63" i="10"/>
  <c r="I64" i="10" s="1" a="1"/>
  <c r="I64" i="10" s="1"/>
  <c r="J63" i="10" s="1"/>
  <c r="I62" i="10" a="1"/>
  <c r="I62" i="10" s="1"/>
  <c r="J61" i="10" s="1"/>
  <c r="S22" i="10"/>
  <c r="T20" i="10"/>
  <c r="H42" i="10"/>
  <c r="H38" i="10" a="1"/>
  <c r="H38" i="10" s="1"/>
  <c r="N39" i="10"/>
  <c r="N40" i="10" s="1" a="1"/>
  <c r="N40" i="10" s="1"/>
  <c r="P35" i="10"/>
  <c r="P36" i="10" s="1" a="1"/>
  <c r="P36" i="10" s="1"/>
  <c r="R24" i="10"/>
  <c r="Q33" i="10"/>
  <c r="O37" i="10"/>
  <c r="O38" i="10" s="1" a="1"/>
  <c r="O38" i="10" s="1"/>
  <c r="I37" i="10"/>
  <c r="I36" i="10" a="1"/>
  <c r="I36" i="10" s="1"/>
  <c r="J35" i="10" s="1"/>
  <c r="P42" i="15"/>
  <c r="R42" i="15" s="1"/>
  <c r="R34" i="15" s="1"/>
  <c r="G33" i="15"/>
  <c r="G147" i="15"/>
  <c r="D21" i="20" s="1"/>
  <c r="F21" i="20" s="1"/>
  <c r="C46" i="21"/>
  <c r="R119" i="15"/>
  <c r="S119" i="15"/>
  <c r="C175" i="15"/>
  <c r="D176" i="15"/>
  <c r="W175" i="15"/>
  <c r="U178" i="15"/>
  <c r="B174" i="15"/>
  <c r="X174" i="15" s="1"/>
  <c r="C201" i="15"/>
  <c r="T205" i="15"/>
  <c r="D202" i="15"/>
  <c r="W201" i="15"/>
  <c r="H95" i="15"/>
  <c r="B37" i="21"/>
  <c r="I145" i="15"/>
  <c r="G172" i="15"/>
  <c r="D19" i="21" s="1"/>
  <c r="F19" i="21" s="1"/>
  <c r="W123" i="15"/>
  <c r="W124" i="15"/>
  <c r="C123" i="15"/>
  <c r="C45" i="21"/>
  <c r="D18" i="20"/>
  <c r="F18" i="20" s="1"/>
  <c r="H19" i="20"/>
  <c r="B20" i="20"/>
  <c r="H29" i="20"/>
  <c r="H23" i="20"/>
  <c r="C18" i="20"/>
  <c r="H22" i="20"/>
  <c r="C17" i="20"/>
  <c r="H46" i="21"/>
  <c r="B18" i="20"/>
  <c r="C22" i="20"/>
  <c r="C20" i="20"/>
  <c r="H45" i="21"/>
  <c r="B22" i="20"/>
  <c r="H17" i="20"/>
  <c r="D46" i="21"/>
  <c r="F46" i="21" s="1"/>
  <c r="D22" i="20"/>
  <c r="F22" i="20" s="1"/>
  <c r="C23" i="20"/>
  <c r="D19" i="20"/>
  <c r="F19" i="20" s="1"/>
  <c r="D47" i="21"/>
  <c r="F47" i="21" s="1"/>
  <c r="C21" i="20"/>
  <c r="B46" i="21"/>
  <c r="B19" i="20"/>
  <c r="H20" i="20"/>
  <c r="K122" i="15"/>
  <c r="J122" i="15"/>
  <c r="S122" i="15"/>
  <c r="B122" i="15"/>
  <c r="X122" i="15" s="1"/>
  <c r="D150" i="15"/>
  <c r="B27" i="20" s="1"/>
  <c r="W149" i="15"/>
  <c r="V151" i="15"/>
  <c r="C149" i="15"/>
  <c r="C227" i="15"/>
  <c r="W227" i="15"/>
  <c r="S232" i="15"/>
  <c r="D228" i="15"/>
  <c r="K147" i="15"/>
  <c r="B200" i="15"/>
  <c r="X200" i="15" s="1"/>
  <c r="K148" i="15"/>
  <c r="B148" i="15"/>
  <c r="X148" i="15" s="1"/>
  <c r="J148" i="15"/>
  <c r="S148" i="15"/>
  <c r="R148" i="15"/>
  <c r="B226" i="15"/>
  <c r="X226" i="15" s="1"/>
  <c r="B96" i="15"/>
  <c r="X96" i="15" s="1"/>
  <c r="K96" i="15"/>
  <c r="S96" i="15"/>
  <c r="S88" i="15" s="1"/>
  <c r="J96" i="15"/>
  <c r="J87" i="15" s="1"/>
  <c r="D20" i="20"/>
  <c r="F20" i="20" s="1"/>
  <c r="G69" i="15"/>
  <c r="P120" i="15"/>
  <c r="J120" i="15"/>
  <c r="K199" i="15"/>
  <c r="H199" i="15"/>
  <c r="G199" i="15" s="1"/>
  <c r="I199" i="15" s="1"/>
  <c r="B21" i="20"/>
  <c r="H47" i="21"/>
  <c r="C47" i="21"/>
  <c r="K173" i="15"/>
  <c r="H173" i="15"/>
  <c r="G173" i="15" s="1"/>
  <c r="I173" i="15" s="1"/>
  <c r="C19" i="20"/>
  <c r="B252" i="15"/>
  <c r="X252" i="15" s="1"/>
  <c r="K252" i="15"/>
  <c r="J252" i="15"/>
  <c r="S252" i="15"/>
  <c r="R252" i="15"/>
  <c r="H21" i="20"/>
  <c r="R259" i="15"/>
  <c r="C253" i="15"/>
  <c r="D254" i="15"/>
  <c r="W253" i="15"/>
  <c r="H18" i="20"/>
  <c r="P146" i="15"/>
  <c r="J146" i="15"/>
  <c r="J65" i="10" l="1"/>
  <c r="Q35" i="10"/>
  <c r="Q36" i="10" s="1" a="1"/>
  <c r="Q36" i="10" s="1"/>
  <c r="R33" i="10"/>
  <c r="N41" i="10"/>
  <c r="N42" i="10" s="1" a="1"/>
  <c r="N42" i="10" s="1"/>
  <c r="P37" i="10"/>
  <c r="P38" i="10" s="1" a="1"/>
  <c r="P38" i="10" s="1"/>
  <c r="H44" i="10"/>
  <c r="H43" i="10" a="1"/>
  <c r="H43" i="10" s="1"/>
  <c r="J42" i="10" s="1"/>
  <c r="S24" i="10"/>
  <c r="T22" i="10"/>
  <c r="F48" i="10"/>
  <c r="I38" i="10" a="1"/>
  <c r="I38" i="10" s="1"/>
  <c r="J37" i="10" s="1"/>
  <c r="J39" i="10" s="1"/>
  <c r="I42" i="10"/>
  <c r="I44" i="10" s="1"/>
  <c r="O39" i="10"/>
  <c r="O40" i="10" s="1" a="1"/>
  <c r="O40" i="10" s="1"/>
  <c r="I172" i="15"/>
  <c r="J172" i="15" s="1"/>
  <c r="C29" i="20"/>
  <c r="H25" i="20"/>
  <c r="C25" i="20"/>
  <c r="B175" i="15"/>
  <c r="X175" i="15" s="1"/>
  <c r="K175" i="15"/>
  <c r="J175" i="15"/>
  <c r="S175" i="15"/>
  <c r="R175" i="15"/>
  <c r="H96" i="15"/>
  <c r="B38" i="21"/>
  <c r="B123" i="15"/>
  <c r="X123" i="15" s="1"/>
  <c r="K123" i="15"/>
  <c r="S123" i="15"/>
  <c r="J123" i="15"/>
  <c r="J114" i="15" s="1"/>
  <c r="C150" i="15"/>
  <c r="W151" i="15"/>
  <c r="W150" i="15"/>
  <c r="B28" i="20"/>
  <c r="C28" i="20"/>
  <c r="H24" i="20"/>
  <c r="H30" i="20"/>
  <c r="B25" i="20"/>
  <c r="C26" i="20"/>
  <c r="B29" i="20"/>
  <c r="B26" i="20"/>
  <c r="H28" i="20"/>
  <c r="D27" i="20"/>
  <c r="F27" i="20" s="1"/>
  <c r="C30" i="20"/>
  <c r="D29" i="20"/>
  <c r="F29" i="20" s="1"/>
  <c r="H26" i="20"/>
  <c r="D31" i="21"/>
  <c r="F31" i="21" s="1"/>
  <c r="I69" i="15"/>
  <c r="D25" i="20"/>
  <c r="F25" i="20" s="1"/>
  <c r="H122" i="15"/>
  <c r="B44" i="21"/>
  <c r="K174" i="15"/>
  <c r="H174" i="15"/>
  <c r="G174" i="15" s="1"/>
  <c r="I174" i="15" s="1"/>
  <c r="D26" i="20"/>
  <c r="F26" i="20" s="1"/>
  <c r="I147" i="15"/>
  <c r="K149" i="15"/>
  <c r="S149" i="15"/>
  <c r="B149" i="15"/>
  <c r="X149" i="15" s="1"/>
  <c r="J149" i="15"/>
  <c r="C27" i="20"/>
  <c r="D255" i="15"/>
  <c r="C254" i="15"/>
  <c r="S259" i="15"/>
  <c r="W254" i="15"/>
  <c r="K226" i="15"/>
  <c r="H226" i="15"/>
  <c r="C24" i="20"/>
  <c r="H27" i="20"/>
  <c r="B201" i="15"/>
  <c r="X201" i="15" s="1"/>
  <c r="C176" i="15"/>
  <c r="V178" i="15"/>
  <c r="D177" i="15"/>
  <c r="C33" i="20" s="1"/>
  <c r="W176" i="15"/>
  <c r="B253" i="15"/>
  <c r="X253" i="15" s="1"/>
  <c r="R146" i="15"/>
  <c r="S146" i="15"/>
  <c r="C228" i="15"/>
  <c r="W228" i="15"/>
  <c r="T232" i="15"/>
  <c r="D229" i="15"/>
  <c r="G95" i="15"/>
  <c r="D37" i="21" s="1"/>
  <c r="F37" i="21" s="1"/>
  <c r="P199" i="15"/>
  <c r="J199" i="15"/>
  <c r="B227" i="15"/>
  <c r="X227" i="15" s="1"/>
  <c r="P145" i="15"/>
  <c r="J145" i="15"/>
  <c r="R120" i="15"/>
  <c r="S120" i="15"/>
  <c r="S115" i="15" s="1"/>
  <c r="K200" i="15"/>
  <c r="H200" i="15"/>
  <c r="P173" i="15"/>
  <c r="J173" i="15"/>
  <c r="C202" i="15"/>
  <c r="W202" i="15"/>
  <c r="U205" i="15"/>
  <c r="D203" i="15"/>
  <c r="H31" i="20" l="1"/>
  <c r="B34" i="20"/>
  <c r="C36" i="20"/>
  <c r="D32" i="20"/>
  <c r="F32" i="20" s="1"/>
  <c r="H35" i="20"/>
  <c r="D36" i="20"/>
  <c r="F36" i="20" s="1"/>
  <c r="B35" i="20"/>
  <c r="P39" i="10"/>
  <c r="P40" i="10" s="1" a="1"/>
  <c r="P40" i="10" s="1"/>
  <c r="T24" i="10"/>
  <c r="T28" i="10" s="1"/>
  <c r="S33" i="10"/>
  <c r="N46" i="10"/>
  <c r="N47" i="10" s="1" a="1"/>
  <c r="N47" i="10" s="1"/>
  <c r="O41" i="10"/>
  <c r="O42" i="10" s="1" a="1"/>
  <c r="O42" i="10" s="1"/>
  <c r="I46" i="10"/>
  <c r="I45" i="10" a="1"/>
  <c r="I45" i="10" s="1"/>
  <c r="H46" i="10"/>
  <c r="H45" i="10" a="1"/>
  <c r="H45" i="10" s="1"/>
  <c r="J44" i="10" s="1"/>
  <c r="Q37" i="10"/>
  <c r="Q38" i="10" s="1" a="1"/>
  <c r="Q38" i="10" s="1"/>
  <c r="F50" i="10"/>
  <c r="F51" i="10" s="1" a="1"/>
  <c r="F51" i="10" s="1"/>
  <c r="F49" i="10" a="1"/>
  <c r="F49" i="10" s="1"/>
  <c r="R35" i="10"/>
  <c r="R36" i="10" s="1" a="1"/>
  <c r="R36" i="10" s="1"/>
  <c r="D28" i="20"/>
  <c r="F28" i="20" s="1"/>
  <c r="P172" i="15"/>
  <c r="R172" i="15" s="1"/>
  <c r="I95" i="15"/>
  <c r="P95" i="15" s="1"/>
  <c r="R95" i="15" s="1"/>
  <c r="G226" i="15"/>
  <c r="I226" i="15" s="1"/>
  <c r="P69" i="15"/>
  <c r="R69" i="15" s="1"/>
  <c r="R61" i="15" s="1"/>
  <c r="G60" i="15"/>
  <c r="B176" i="15"/>
  <c r="X176" i="15" s="1"/>
  <c r="K176" i="15"/>
  <c r="J176" i="15"/>
  <c r="S176" i="15"/>
  <c r="C177" i="15"/>
  <c r="W177" i="15"/>
  <c r="W178" i="15"/>
  <c r="C35" i="20"/>
  <c r="C34" i="20"/>
  <c r="C37" i="20"/>
  <c r="R145" i="15"/>
  <c r="S145" i="15"/>
  <c r="C32" i="20"/>
  <c r="D33" i="20"/>
  <c r="F33" i="20" s="1"/>
  <c r="K227" i="15"/>
  <c r="H227" i="15"/>
  <c r="G227" i="15" s="1"/>
  <c r="I227" i="15" s="1"/>
  <c r="H32" i="20"/>
  <c r="H33" i="20"/>
  <c r="C255" i="15"/>
  <c r="T259" i="15"/>
  <c r="W255" i="15"/>
  <c r="D256" i="15"/>
  <c r="S150" i="15"/>
  <c r="K150" i="15"/>
  <c r="B150" i="15"/>
  <c r="X150" i="15" s="1"/>
  <c r="J150" i="15"/>
  <c r="S199" i="15"/>
  <c r="R199" i="15"/>
  <c r="B228" i="15"/>
  <c r="X228" i="15" s="1"/>
  <c r="C229" i="15"/>
  <c r="W229" i="15"/>
  <c r="U232" i="15"/>
  <c r="D230" i="15"/>
  <c r="B36" i="20"/>
  <c r="H36" i="20"/>
  <c r="R173" i="15"/>
  <c r="S173" i="15"/>
  <c r="P147" i="15"/>
  <c r="J147" i="15"/>
  <c r="H34" i="20"/>
  <c r="H37" i="20"/>
  <c r="K201" i="15"/>
  <c r="H201" i="15"/>
  <c r="G201" i="15" s="1"/>
  <c r="G96" i="15"/>
  <c r="D38" i="21" s="1"/>
  <c r="F38" i="21" s="1"/>
  <c r="I96" i="15"/>
  <c r="P96" i="15" s="1"/>
  <c r="R96" i="15" s="1"/>
  <c r="G122" i="15"/>
  <c r="D44" i="21" s="1"/>
  <c r="F44" i="21" s="1"/>
  <c r="H123" i="15"/>
  <c r="B17" i="20"/>
  <c r="B45" i="21"/>
  <c r="C203" i="15"/>
  <c r="V205" i="15"/>
  <c r="D204" i="15"/>
  <c r="H42" i="20" s="1"/>
  <c r="W203" i="15"/>
  <c r="B202" i="15"/>
  <c r="X202" i="15" s="1"/>
  <c r="K202" i="15"/>
  <c r="J202" i="15"/>
  <c r="S202" i="15"/>
  <c r="R202" i="15"/>
  <c r="G200" i="15"/>
  <c r="D34" i="20" s="1"/>
  <c r="F34" i="20" s="1"/>
  <c r="P174" i="15"/>
  <c r="J174" i="15"/>
  <c r="B33" i="20"/>
  <c r="H149" i="15"/>
  <c r="B23" i="20"/>
  <c r="K253" i="15"/>
  <c r="H253" i="15"/>
  <c r="G253" i="15" s="1"/>
  <c r="I253" i="15" s="1"/>
  <c r="B32" i="20"/>
  <c r="C31" i="20"/>
  <c r="B254" i="15"/>
  <c r="X254" i="15" s="1"/>
  <c r="H254" i="15"/>
  <c r="G254" i="15" s="1"/>
  <c r="I254" i="15" s="1"/>
  <c r="P254" i="15" s="1"/>
  <c r="S254" i="15" s="1"/>
  <c r="K254" i="15"/>
  <c r="B40" i="20" l="1"/>
  <c r="C40" i="20"/>
  <c r="H44" i="20"/>
  <c r="O46" i="10"/>
  <c r="O47" i="10" s="1" a="1"/>
  <c r="O47" i="10" s="1"/>
  <c r="R37" i="10"/>
  <c r="R38" i="10" s="1" a="1"/>
  <c r="R38" i="10" s="1"/>
  <c r="Q39" i="10"/>
  <c r="Q40" i="10" s="1" a="1"/>
  <c r="Q40" i="10" s="1"/>
  <c r="H47" i="10" a="1"/>
  <c r="H47" i="10" s="1"/>
  <c r="H48" i="10"/>
  <c r="P41" i="10"/>
  <c r="P42" i="10" s="1" a="1"/>
  <c r="P42" i="10" s="1"/>
  <c r="I47" i="10" a="1"/>
  <c r="I47" i="10" s="1"/>
  <c r="J46" i="10" s="1"/>
  <c r="I48" i="10"/>
  <c r="N48" i="10"/>
  <c r="S35" i="10"/>
  <c r="S36" i="10" s="1" a="1"/>
  <c r="S36" i="10" s="1"/>
  <c r="T33" i="10"/>
  <c r="D40" i="20"/>
  <c r="F40" i="20" s="1"/>
  <c r="I200" i="15"/>
  <c r="P200" i="15" s="1"/>
  <c r="S172" i="15"/>
  <c r="H41" i="20"/>
  <c r="C39" i="20"/>
  <c r="B39" i="20"/>
  <c r="R254" i="15"/>
  <c r="D41" i="20"/>
  <c r="F41" i="20" s="1"/>
  <c r="J141" i="15"/>
  <c r="C204" i="15"/>
  <c r="W205" i="15"/>
  <c r="W204" i="15"/>
  <c r="H43" i="20"/>
  <c r="B42" i="20"/>
  <c r="H39" i="20"/>
  <c r="C44" i="20"/>
  <c r="C42" i="20"/>
  <c r="J254" i="15"/>
  <c r="H150" i="15"/>
  <c r="B24" i="20"/>
  <c r="H38" i="20"/>
  <c r="C256" i="15"/>
  <c r="U259" i="15"/>
  <c r="D257" i="15"/>
  <c r="W256" i="15"/>
  <c r="D43" i="20"/>
  <c r="F43" i="20" s="1"/>
  <c r="B255" i="15"/>
  <c r="X255" i="15" s="1"/>
  <c r="H255" i="15"/>
  <c r="G255" i="15" s="1"/>
  <c r="I255" i="15" s="1"/>
  <c r="J255" i="15" s="1"/>
  <c r="K255" i="15"/>
  <c r="G149" i="15"/>
  <c r="D23" i="20" s="1"/>
  <c r="F23" i="20" s="1"/>
  <c r="G87" i="15"/>
  <c r="C230" i="15"/>
  <c r="W230" i="15"/>
  <c r="V232" i="15"/>
  <c r="D231" i="15"/>
  <c r="C17" i="23" s="1"/>
  <c r="C43" i="20"/>
  <c r="R88" i="15"/>
  <c r="B177" i="15"/>
  <c r="X177" i="15" s="1"/>
  <c r="J177" i="15"/>
  <c r="J168" i="15" s="1"/>
  <c r="S177" i="15"/>
  <c r="B203" i="15"/>
  <c r="X203" i="15" s="1"/>
  <c r="K203" i="15"/>
  <c r="J203" i="15"/>
  <c r="S203" i="15"/>
  <c r="B229" i="15"/>
  <c r="X229" i="15" s="1"/>
  <c r="K229" i="15"/>
  <c r="J229" i="15"/>
  <c r="R229" i="15"/>
  <c r="S229" i="15"/>
  <c r="R147" i="15"/>
  <c r="S147" i="15"/>
  <c r="S142" i="15" s="1"/>
  <c r="K228" i="15"/>
  <c r="H228" i="15"/>
  <c r="G228" i="15" s="1"/>
  <c r="I228" i="15" s="1"/>
  <c r="H176" i="15"/>
  <c r="G176" i="15" s="1"/>
  <c r="B30" i="20"/>
  <c r="C41" i="20"/>
  <c r="P253" i="15"/>
  <c r="J253" i="15"/>
  <c r="I201" i="15"/>
  <c r="D35" i="20"/>
  <c r="F35" i="20" s="1"/>
  <c r="C38" i="20"/>
  <c r="P227" i="15"/>
  <c r="J227" i="15"/>
  <c r="I122" i="15"/>
  <c r="S174" i="15"/>
  <c r="R174" i="15"/>
  <c r="G123" i="15"/>
  <c r="I123" i="15" s="1"/>
  <c r="P123" i="15" s="1"/>
  <c r="R123" i="15" s="1"/>
  <c r="B41" i="20"/>
  <c r="D39" i="20"/>
  <c r="F39" i="20" s="1"/>
  <c r="H40" i="20"/>
  <c r="B43" i="20"/>
  <c r="P226" i="15"/>
  <c r="J226" i="15"/>
  <c r="B19" i="23" l="1"/>
  <c r="H19" i="23"/>
  <c r="D17" i="23"/>
  <c r="F17" i="23" s="1"/>
  <c r="H18" i="23"/>
  <c r="D46" i="20"/>
  <c r="F46" i="20" s="1"/>
  <c r="S37" i="10"/>
  <c r="S38" i="10" s="1" a="1"/>
  <c r="S38" i="10" s="1"/>
  <c r="T35" i="10"/>
  <c r="N50" i="10"/>
  <c r="N51" i="10" s="1" a="1"/>
  <c r="N51" i="10" s="1"/>
  <c r="H50" i="10"/>
  <c r="H51" i="10" s="1" a="1"/>
  <c r="H51" i="10" s="1"/>
  <c r="H49" i="10" a="1"/>
  <c r="H49" i="10" s="1"/>
  <c r="P46" i="10"/>
  <c r="P47" i="10" s="1" a="1"/>
  <c r="P47" i="10" s="1"/>
  <c r="I49" i="10" a="1"/>
  <c r="I49" i="10" s="1"/>
  <c r="J48" i="10" s="1"/>
  <c r="I50" i="10"/>
  <c r="I51" i="10" s="1" a="1"/>
  <c r="I51" i="10" s="1"/>
  <c r="J50" i="10" s="1"/>
  <c r="Q41" i="10"/>
  <c r="Q42" i="10" s="1" a="1"/>
  <c r="Q42" i="10" s="1"/>
  <c r="R39" i="10"/>
  <c r="R40" i="10" s="1" a="1"/>
  <c r="R40" i="10" s="1"/>
  <c r="O48" i="10"/>
  <c r="O49" i="10" s="1" a="1"/>
  <c r="O49" i="10" s="1"/>
  <c r="J200" i="15"/>
  <c r="S169" i="15"/>
  <c r="P255" i="15"/>
  <c r="C231" i="15"/>
  <c r="W232" i="15"/>
  <c r="W231" i="15"/>
  <c r="B18" i="23"/>
  <c r="C18" i="23"/>
  <c r="G20" i="16"/>
  <c r="H20" i="16" s="1"/>
  <c r="C21" i="29"/>
  <c r="B40" i="26"/>
  <c r="C20" i="23"/>
  <c r="D45" i="22"/>
  <c r="F45" i="22" s="1"/>
  <c r="C32" i="24"/>
  <c r="D41" i="23"/>
  <c r="F41" i="23" s="1"/>
  <c r="D31" i="29"/>
  <c r="F31" i="29" s="1"/>
  <c r="H47" i="20"/>
  <c r="D43" i="23"/>
  <c r="F43" i="23" s="1"/>
  <c r="B22" i="25"/>
  <c r="C19" i="23"/>
  <c r="C27" i="31"/>
  <c r="H18" i="24"/>
  <c r="C47" i="23"/>
  <c r="H23" i="28"/>
  <c r="B47" i="20"/>
  <c r="G28" i="16"/>
  <c r="H28" i="16" s="1"/>
  <c r="D18" i="27"/>
  <c r="F18" i="27" s="1"/>
  <c r="H38" i="28"/>
  <c r="C46" i="20"/>
  <c r="B39" i="29"/>
  <c r="C46" i="27"/>
  <c r="H46" i="20"/>
  <c r="C45" i="20"/>
  <c r="D47" i="20"/>
  <c r="F47" i="20" s="1"/>
  <c r="B35" i="30"/>
  <c r="H20" i="23"/>
  <c r="D22" i="25"/>
  <c r="F22" i="25" s="1"/>
  <c r="D31" i="25"/>
  <c r="F31" i="25" s="1"/>
  <c r="D28" i="26"/>
  <c r="F28" i="26" s="1"/>
  <c r="H29" i="25"/>
  <c r="B30" i="23"/>
  <c r="C47" i="20"/>
  <c r="D19" i="23"/>
  <c r="F19" i="23" s="1"/>
  <c r="D23" i="31"/>
  <c r="F23" i="31" s="1"/>
  <c r="B17" i="23"/>
  <c r="H26" i="26"/>
  <c r="D39" i="26"/>
  <c r="F39" i="26" s="1"/>
  <c r="H45" i="20"/>
  <c r="H17" i="23"/>
  <c r="C32" i="23"/>
  <c r="G6" i="16"/>
  <c r="H6" i="16" s="1"/>
  <c r="H35" i="31"/>
  <c r="D18" i="23"/>
  <c r="F18" i="23" s="1"/>
  <c r="P122" i="15"/>
  <c r="R122" i="15" s="1"/>
  <c r="R115" i="15" s="1"/>
  <c r="G114" i="15"/>
  <c r="H203" i="15"/>
  <c r="G203" i="15" s="1"/>
  <c r="B37" i="20"/>
  <c r="G150" i="15"/>
  <c r="D24" i="20" s="1"/>
  <c r="F24" i="20" s="1"/>
  <c r="I150" i="15"/>
  <c r="P150" i="15" s="1"/>
  <c r="R150" i="15" s="1"/>
  <c r="B230" i="15"/>
  <c r="X230" i="15" s="1"/>
  <c r="J230" i="15"/>
  <c r="S230" i="15"/>
  <c r="R200" i="15"/>
  <c r="S200" i="15"/>
  <c r="B204" i="15"/>
  <c r="X204" i="15" s="1"/>
  <c r="K204" i="15"/>
  <c r="J204" i="15"/>
  <c r="S204" i="15"/>
  <c r="D17" i="20"/>
  <c r="F17" i="20" s="1"/>
  <c r="D45" i="21"/>
  <c r="F45" i="21" s="1"/>
  <c r="I176" i="15"/>
  <c r="D30" i="20"/>
  <c r="F30" i="20" s="1"/>
  <c r="R227" i="15"/>
  <c r="S227" i="15"/>
  <c r="D42" i="20"/>
  <c r="F42" i="20" s="1"/>
  <c r="I149" i="15"/>
  <c r="S253" i="15"/>
  <c r="R253" i="15"/>
  <c r="C257" i="15"/>
  <c r="W257" i="15"/>
  <c r="V259" i="15"/>
  <c r="D258" i="15"/>
  <c r="B19" i="31" s="1"/>
  <c r="B256" i="15"/>
  <c r="X256" i="15" s="1"/>
  <c r="K256" i="15"/>
  <c r="J256" i="15"/>
  <c r="S256" i="15"/>
  <c r="R256" i="15"/>
  <c r="R226" i="15"/>
  <c r="S226" i="15"/>
  <c r="K177" i="15"/>
  <c r="H177" i="15"/>
  <c r="G177" i="15" s="1"/>
  <c r="B31" i="20"/>
  <c r="P201" i="15"/>
  <c r="J201" i="15"/>
  <c r="P228" i="15"/>
  <c r="J228" i="15"/>
  <c r="C22" i="26" l="1"/>
  <c r="D33" i="30"/>
  <c r="F33" i="30" s="1"/>
  <c r="D20" i="29"/>
  <c r="F20" i="29" s="1"/>
  <c r="C35" i="24"/>
  <c r="H30" i="28"/>
  <c r="D25" i="27"/>
  <c r="F25" i="27" s="1"/>
  <c r="D22" i="30"/>
  <c r="F22" i="30" s="1"/>
  <c r="D35" i="29"/>
  <c r="F35" i="29" s="1"/>
  <c r="B33" i="26"/>
  <c r="C20" i="25"/>
  <c r="D36" i="28"/>
  <c r="F36" i="28" s="1"/>
  <c r="H32" i="26"/>
  <c r="D47" i="31"/>
  <c r="F47" i="31" s="1"/>
  <c r="D20" i="25"/>
  <c r="F20" i="25" s="1"/>
  <c r="H22" i="28"/>
  <c r="H20" i="25"/>
  <c r="D38" i="30"/>
  <c r="F38" i="30" s="1"/>
  <c r="B39" i="28"/>
  <c r="D41" i="27"/>
  <c r="F41" i="27" s="1"/>
  <c r="B43" i="31"/>
  <c r="H47" i="26"/>
  <c r="C22" i="30"/>
  <c r="B38" i="31"/>
  <c r="H32" i="27"/>
  <c r="B44" i="29"/>
  <c r="B29" i="23"/>
  <c r="B44" i="28"/>
  <c r="D42" i="27"/>
  <c r="F42" i="27" s="1"/>
  <c r="C22" i="27"/>
  <c r="C22" i="24"/>
  <c r="B32" i="24"/>
  <c r="H37" i="25"/>
  <c r="H43" i="24"/>
  <c r="B30" i="24"/>
  <c r="H25" i="29"/>
  <c r="H26" i="27"/>
  <c r="H47" i="23"/>
  <c r="C29" i="29"/>
  <c r="H32" i="28"/>
  <c r="C37" i="25"/>
  <c r="B24" i="26"/>
  <c r="G5" i="16"/>
  <c r="H5" i="16" s="1"/>
  <c r="H42" i="23"/>
  <c r="J52" i="10"/>
  <c r="Q46" i="10"/>
  <c r="Q47" i="10" s="1" a="1"/>
  <c r="Q47" i="10" s="1"/>
  <c r="O50" i="10"/>
  <c r="O51" i="10" s="1" a="1"/>
  <c r="O51" i="10" s="1"/>
  <c r="P48" i="10"/>
  <c r="P49" i="10" s="1" a="1"/>
  <c r="P49" i="10" s="1"/>
  <c r="S39" i="10"/>
  <c r="S40" i="10" s="1" a="1"/>
  <c r="S40" i="10" s="1"/>
  <c r="T37" i="10"/>
  <c r="R41" i="10"/>
  <c r="R42" i="10" s="1" a="1"/>
  <c r="R42" i="10" s="1"/>
  <c r="N52" i="10"/>
  <c r="N53" i="10" s="1" a="1"/>
  <c r="N53" i="10" s="1"/>
  <c r="C42" i="30"/>
  <c r="D24" i="25"/>
  <c r="F24" i="25" s="1"/>
  <c r="H28" i="26"/>
  <c r="H22" i="31"/>
  <c r="C42" i="24"/>
  <c r="C21" i="27"/>
  <c r="C30" i="25"/>
  <c r="C20" i="31"/>
  <c r="C35" i="26"/>
  <c r="B19" i="28"/>
  <c r="C38" i="23"/>
  <c r="H37" i="24"/>
  <c r="D18" i="31"/>
  <c r="F18" i="31" s="1"/>
  <c r="H46" i="26"/>
  <c r="H35" i="30"/>
  <c r="H43" i="30"/>
  <c r="B46" i="31"/>
  <c r="C18" i="24"/>
  <c r="C26" i="29"/>
  <c r="C26" i="26"/>
  <c r="H43" i="28"/>
  <c r="B20" i="25"/>
  <c r="B45" i="30"/>
  <c r="D19" i="28"/>
  <c r="F19" i="28" s="1"/>
  <c r="B40" i="29"/>
  <c r="H43" i="29"/>
  <c r="C36" i="30"/>
  <c r="D47" i="24"/>
  <c r="F47" i="24" s="1"/>
  <c r="B33" i="25"/>
  <c r="C35" i="30"/>
  <c r="B18" i="27"/>
  <c r="H44" i="30"/>
  <c r="B24" i="23"/>
  <c r="C33" i="24"/>
  <c r="C34" i="26"/>
  <c r="H36" i="26"/>
  <c r="B22" i="27"/>
  <c r="C44" i="23"/>
  <c r="C25" i="31"/>
  <c r="D39" i="31"/>
  <c r="F39" i="31" s="1"/>
  <c r="C19" i="25"/>
  <c r="H25" i="30"/>
  <c r="C23" i="23"/>
  <c r="B47" i="29"/>
  <c r="B36" i="26"/>
  <c r="B32" i="28"/>
  <c r="B22" i="29"/>
  <c r="D34" i="24"/>
  <c r="F34" i="24" s="1"/>
  <c r="B33" i="27"/>
  <c r="C24" i="25"/>
  <c r="B39" i="25"/>
  <c r="C46" i="25"/>
  <c r="C37" i="24"/>
  <c r="H40" i="23"/>
  <c r="G10" i="16"/>
  <c r="H10" i="16" s="1"/>
  <c r="H46" i="29"/>
  <c r="B23" i="31"/>
  <c r="B21" i="28"/>
  <c r="D33" i="24"/>
  <c r="F33" i="24" s="1"/>
  <c r="B27" i="30"/>
  <c r="C17" i="24"/>
  <c r="H24" i="27"/>
  <c r="B29" i="30"/>
  <c r="D36" i="23"/>
  <c r="F36" i="23" s="1"/>
  <c r="H34" i="25"/>
  <c r="C35" i="28"/>
  <c r="C20" i="28"/>
  <c r="C33" i="30"/>
  <c r="C27" i="26"/>
  <c r="D40" i="29"/>
  <c r="F40" i="29" s="1"/>
  <c r="B36" i="24"/>
  <c r="C20" i="29"/>
  <c r="D37" i="28"/>
  <c r="F37" i="28" s="1"/>
  <c r="B19" i="24"/>
  <c r="C20" i="30"/>
  <c r="H44" i="23"/>
  <c r="H41" i="25"/>
  <c r="C23" i="28"/>
  <c r="B30" i="27"/>
  <c r="B40" i="24"/>
  <c r="D41" i="31"/>
  <c r="F41" i="31" s="1"/>
  <c r="H20" i="29"/>
  <c r="C18" i="25"/>
  <c r="D32" i="29"/>
  <c r="F32" i="29" s="1"/>
  <c r="H27" i="28"/>
  <c r="H39" i="29"/>
  <c r="G4" i="16"/>
  <c r="H4" i="16" s="1"/>
  <c r="D46" i="30"/>
  <c r="F46" i="30" s="1"/>
  <c r="J195" i="15"/>
  <c r="B22" i="31"/>
  <c r="G25" i="16"/>
  <c r="H25" i="16" s="1"/>
  <c r="D44" i="28"/>
  <c r="F44" i="28" s="1"/>
  <c r="H24" i="29"/>
  <c r="H24" i="30"/>
  <c r="D36" i="27"/>
  <c r="F36" i="27" s="1"/>
  <c r="C36" i="26"/>
  <c r="C33" i="27"/>
  <c r="C34" i="30"/>
  <c r="H46" i="30"/>
  <c r="C36" i="31"/>
  <c r="B28" i="24"/>
  <c r="H39" i="26"/>
  <c r="D40" i="30"/>
  <c r="F40" i="30" s="1"/>
  <c r="D39" i="30"/>
  <c r="F39" i="30" s="1"/>
  <c r="D17" i="26"/>
  <c r="F17" i="26" s="1"/>
  <c r="D42" i="26"/>
  <c r="F42" i="26" s="1"/>
  <c r="H44" i="28"/>
  <c r="H39" i="30"/>
  <c r="D44" i="31"/>
  <c r="F44" i="31" s="1"/>
  <c r="D20" i="27"/>
  <c r="F20" i="27" s="1"/>
  <c r="C35" i="29"/>
  <c r="D44" i="23"/>
  <c r="F44" i="23" s="1"/>
  <c r="G3" i="16"/>
  <c r="H3" i="16" s="1"/>
  <c r="D38" i="31"/>
  <c r="F38" i="31" s="1"/>
  <c r="H21" i="23"/>
  <c r="D46" i="26"/>
  <c r="F46" i="26" s="1"/>
  <c r="C18" i="30"/>
  <c r="D22" i="23"/>
  <c r="F22" i="23" s="1"/>
  <c r="H22" i="30"/>
  <c r="D24" i="26"/>
  <c r="F24" i="26" s="1"/>
  <c r="D42" i="23"/>
  <c r="F42" i="23" s="1"/>
  <c r="B39" i="31"/>
  <c r="C21" i="24"/>
  <c r="D22" i="26"/>
  <c r="F22" i="26" s="1"/>
  <c r="D35" i="30"/>
  <c r="F35" i="30" s="1"/>
  <c r="D46" i="31"/>
  <c r="F46" i="31" s="1"/>
  <c r="D34" i="23"/>
  <c r="F34" i="23" s="1"/>
  <c r="H23" i="24"/>
  <c r="H37" i="29"/>
  <c r="B25" i="26"/>
  <c r="D35" i="27"/>
  <c r="F35" i="27" s="1"/>
  <c r="D43" i="27"/>
  <c r="F43" i="27" s="1"/>
  <c r="C37" i="26"/>
  <c r="C29" i="26"/>
  <c r="D30" i="26"/>
  <c r="F30" i="26" s="1"/>
  <c r="B42" i="31"/>
  <c r="D21" i="25"/>
  <c r="F21" i="25" s="1"/>
  <c r="D29" i="26"/>
  <c r="F29" i="26" s="1"/>
  <c r="C45" i="30"/>
  <c r="H42" i="30"/>
  <c r="G27" i="16"/>
  <c r="H27" i="16" s="1"/>
  <c r="H23" i="30"/>
  <c r="H31" i="24"/>
  <c r="D32" i="24"/>
  <c r="F32" i="24" s="1"/>
  <c r="B22" i="24"/>
  <c r="H21" i="27"/>
  <c r="B27" i="27"/>
  <c r="B43" i="26"/>
  <c r="C24" i="30"/>
  <c r="D47" i="28"/>
  <c r="F47" i="28" s="1"/>
  <c r="D21" i="27"/>
  <c r="F21" i="27" s="1"/>
  <c r="C28" i="27"/>
  <c r="H28" i="24"/>
  <c r="C37" i="30"/>
  <c r="C27" i="29"/>
  <c r="B31" i="25"/>
  <c r="C45" i="23"/>
  <c r="D32" i="27"/>
  <c r="F32" i="27" s="1"/>
  <c r="H41" i="26"/>
  <c r="D42" i="29"/>
  <c r="F42" i="29" s="1"/>
  <c r="B21" i="31"/>
  <c r="H19" i="28"/>
  <c r="H37" i="23"/>
  <c r="D26" i="28"/>
  <c r="F26" i="28" s="1"/>
  <c r="B38" i="30"/>
  <c r="B46" i="29"/>
  <c r="B31" i="30"/>
  <c r="H44" i="29"/>
  <c r="B29" i="31"/>
  <c r="H36" i="27"/>
  <c r="B41" i="26"/>
  <c r="D22" i="27"/>
  <c r="F22" i="27" s="1"/>
  <c r="C46" i="31"/>
  <c r="H46" i="23"/>
  <c r="D24" i="29"/>
  <c r="F24" i="29" s="1"/>
  <c r="B25" i="28"/>
  <c r="C45" i="31"/>
  <c r="D35" i="25"/>
  <c r="F35" i="25" s="1"/>
  <c r="C17" i="30"/>
  <c r="C29" i="27"/>
  <c r="C39" i="28"/>
  <c r="B30" i="26"/>
  <c r="H39" i="24"/>
  <c r="B24" i="24"/>
  <c r="C38" i="25"/>
  <c r="C27" i="24"/>
  <c r="B47" i="26"/>
  <c r="H24" i="31"/>
  <c r="B32" i="29"/>
  <c r="H21" i="28"/>
  <c r="C25" i="25"/>
  <c r="B40" i="23"/>
  <c r="G2" i="16"/>
  <c r="H2" i="16" s="1"/>
  <c r="B257" i="15"/>
  <c r="X257" i="15" s="1"/>
  <c r="J257" i="15"/>
  <c r="S257" i="15"/>
  <c r="B23" i="25"/>
  <c r="H30" i="31"/>
  <c r="H41" i="29"/>
  <c r="C26" i="23"/>
  <c r="C29" i="30"/>
  <c r="H21" i="30"/>
  <c r="D20" i="26"/>
  <c r="F20" i="26" s="1"/>
  <c r="H33" i="25"/>
  <c r="B45" i="24"/>
  <c r="C42" i="29"/>
  <c r="D41" i="25"/>
  <c r="F41" i="25" s="1"/>
  <c r="B32" i="27"/>
  <c r="D30" i="30"/>
  <c r="F30" i="30" s="1"/>
  <c r="B27" i="29"/>
  <c r="D33" i="25"/>
  <c r="F33" i="25" s="1"/>
  <c r="B20" i="31"/>
  <c r="D30" i="25"/>
  <c r="F30" i="25" s="1"/>
  <c r="B25" i="27"/>
  <c r="H47" i="28"/>
  <c r="G17" i="16"/>
  <c r="H17" i="16" s="1"/>
  <c r="D44" i="24"/>
  <c r="F44" i="24" s="1"/>
  <c r="D35" i="24"/>
  <c r="F35" i="24" s="1"/>
  <c r="H27" i="30"/>
  <c r="C40" i="28"/>
  <c r="D37" i="23"/>
  <c r="F37" i="23" s="1"/>
  <c r="B47" i="31"/>
  <c r="B34" i="31"/>
  <c r="C43" i="27"/>
  <c r="D20" i="31"/>
  <c r="F20" i="31" s="1"/>
  <c r="D27" i="31"/>
  <c r="F27" i="31" s="1"/>
  <c r="C27" i="28"/>
  <c r="H30" i="27"/>
  <c r="K230" i="15"/>
  <c r="H230" i="15"/>
  <c r="G230" i="15" s="1"/>
  <c r="B44" i="20"/>
  <c r="C24" i="23"/>
  <c r="D22" i="29"/>
  <c r="F22" i="29" s="1"/>
  <c r="B41" i="23"/>
  <c r="B37" i="23"/>
  <c r="D35" i="31"/>
  <c r="F35" i="31" s="1"/>
  <c r="H35" i="24"/>
  <c r="B29" i="24"/>
  <c r="D39" i="23"/>
  <c r="F39" i="23" s="1"/>
  <c r="B26" i="25"/>
  <c r="C21" i="25"/>
  <c r="D21" i="30"/>
  <c r="F21" i="30" s="1"/>
  <c r="C44" i="26"/>
  <c r="C47" i="31"/>
  <c r="D35" i="28"/>
  <c r="F35" i="28" s="1"/>
  <c r="B20" i="24"/>
  <c r="C19" i="27"/>
  <c r="H40" i="24"/>
  <c r="D19" i="27"/>
  <c r="F19" i="27" s="1"/>
  <c r="D28" i="29"/>
  <c r="F28" i="29" s="1"/>
  <c r="H19" i="25"/>
  <c r="B27" i="31"/>
  <c r="C32" i="27"/>
  <c r="B45" i="26"/>
  <c r="B44" i="25"/>
  <c r="H27" i="31"/>
  <c r="C34" i="25"/>
  <c r="D26" i="27"/>
  <c r="F26" i="27" s="1"/>
  <c r="G8" i="16"/>
  <c r="H8" i="16" s="1"/>
  <c r="B20" i="26"/>
  <c r="C42" i="31"/>
  <c r="B21" i="27"/>
  <c r="H36" i="24"/>
  <c r="H27" i="25"/>
  <c r="D41" i="28"/>
  <c r="F41" i="28" s="1"/>
  <c r="D38" i="29"/>
  <c r="F38" i="29" s="1"/>
  <c r="C35" i="23"/>
  <c r="C20" i="26"/>
  <c r="D23" i="27"/>
  <c r="F23" i="27" s="1"/>
  <c r="D39" i="29"/>
  <c r="F39" i="29" s="1"/>
  <c r="H30" i="25"/>
  <c r="B19" i="29"/>
  <c r="C39" i="30"/>
  <c r="D43" i="28"/>
  <c r="F43" i="28" s="1"/>
  <c r="D26" i="26"/>
  <c r="F26" i="26" s="1"/>
  <c r="D36" i="29"/>
  <c r="F36" i="29" s="1"/>
  <c r="D37" i="24"/>
  <c r="F37" i="24" s="1"/>
  <c r="B45" i="27"/>
  <c r="B38" i="23"/>
  <c r="B19" i="27"/>
  <c r="B42" i="30"/>
  <c r="C38" i="31"/>
  <c r="H31" i="30"/>
  <c r="H45" i="24"/>
  <c r="D46" i="23"/>
  <c r="F46" i="23" s="1"/>
  <c r="B39" i="27"/>
  <c r="H30" i="30"/>
  <c r="B38" i="28"/>
  <c r="B30" i="31"/>
  <c r="D46" i="24"/>
  <c r="F46" i="24" s="1"/>
  <c r="B25" i="24"/>
  <c r="D44" i="30"/>
  <c r="F44" i="30" s="1"/>
  <c r="B21" i="29"/>
  <c r="C46" i="23"/>
  <c r="D36" i="31"/>
  <c r="F36" i="31" s="1"/>
  <c r="H24" i="23"/>
  <c r="D34" i="29"/>
  <c r="F34" i="29" s="1"/>
  <c r="B28" i="26"/>
  <c r="B33" i="30"/>
  <c r="D45" i="25"/>
  <c r="F45" i="25" s="1"/>
  <c r="B26" i="28"/>
  <c r="C43" i="24"/>
  <c r="B46" i="27"/>
  <c r="D47" i="23"/>
  <c r="F47" i="23" s="1"/>
  <c r="H32" i="29"/>
  <c r="B42" i="24"/>
  <c r="H23" i="25"/>
  <c r="C22" i="25"/>
  <c r="B33" i="23"/>
  <c r="B17" i="24"/>
  <c r="C44" i="28"/>
  <c r="B36" i="29"/>
  <c r="D46" i="25"/>
  <c r="F46" i="25" s="1"/>
  <c r="B17" i="29"/>
  <c r="D43" i="26"/>
  <c r="F43" i="26" s="1"/>
  <c r="H33" i="30"/>
  <c r="B47" i="30"/>
  <c r="D18" i="26"/>
  <c r="F18" i="26" s="1"/>
  <c r="C33" i="31"/>
  <c r="H35" i="25"/>
  <c r="C40" i="25"/>
  <c r="D44" i="27"/>
  <c r="F44" i="27" s="1"/>
  <c r="H43" i="23"/>
  <c r="H45" i="27"/>
  <c r="H33" i="26"/>
  <c r="D23" i="30"/>
  <c r="F23" i="30" s="1"/>
  <c r="D24" i="30"/>
  <c r="F24" i="30" s="1"/>
  <c r="B45" i="25"/>
  <c r="C22" i="29"/>
  <c r="C40" i="26"/>
  <c r="G7" i="16"/>
  <c r="H7" i="16" s="1"/>
  <c r="H27" i="26"/>
  <c r="C43" i="25"/>
  <c r="C34" i="28"/>
  <c r="D27" i="27"/>
  <c r="F27" i="27" s="1"/>
  <c r="B23" i="30"/>
  <c r="B18" i="28"/>
  <c r="C17" i="27"/>
  <c r="D40" i="31"/>
  <c r="F40" i="31" s="1"/>
  <c r="D38" i="22"/>
  <c r="F38" i="22" s="1"/>
  <c r="D23" i="23"/>
  <c r="F23" i="23" s="1"/>
  <c r="D45" i="29"/>
  <c r="F45" i="29" s="1"/>
  <c r="H19" i="29"/>
  <c r="C45" i="29"/>
  <c r="C43" i="23"/>
  <c r="C24" i="26"/>
  <c r="B47" i="24"/>
  <c r="B17" i="28"/>
  <c r="G30" i="16"/>
  <c r="H30" i="16" s="1"/>
  <c r="C37" i="27"/>
  <c r="C25" i="26"/>
  <c r="C42" i="25"/>
  <c r="B24" i="29"/>
  <c r="D19" i="24"/>
  <c r="F19" i="24" s="1"/>
  <c r="D41" i="26"/>
  <c r="F41" i="26" s="1"/>
  <c r="B35" i="23"/>
  <c r="C41" i="29"/>
  <c r="H33" i="31"/>
  <c r="B30" i="29"/>
  <c r="C47" i="30"/>
  <c r="H42" i="29"/>
  <c r="H20" i="31"/>
  <c r="C22" i="23"/>
  <c r="C35" i="31"/>
  <c r="H41" i="24"/>
  <c r="H47" i="27"/>
  <c r="H37" i="27"/>
  <c r="D38" i="28"/>
  <c r="F38" i="28" s="1"/>
  <c r="H43" i="25"/>
  <c r="D29" i="25"/>
  <c r="F29" i="25" s="1"/>
  <c r="H36" i="29"/>
  <c r="H39" i="27"/>
  <c r="B44" i="30"/>
  <c r="D31" i="24"/>
  <c r="F31" i="24" s="1"/>
  <c r="C44" i="25"/>
  <c r="D39" i="24"/>
  <c r="F39" i="24" s="1"/>
  <c r="G12" i="16"/>
  <c r="H12" i="16" s="1"/>
  <c r="H18" i="31"/>
  <c r="D34" i="30"/>
  <c r="F34" i="30" s="1"/>
  <c r="H26" i="24"/>
  <c r="H29" i="28"/>
  <c r="H42" i="25"/>
  <c r="C39" i="29"/>
  <c r="H23" i="31"/>
  <c r="B24" i="28"/>
  <c r="C31" i="29"/>
  <c r="D32" i="26"/>
  <c r="F32" i="26" s="1"/>
  <c r="D26" i="31"/>
  <c r="F26" i="31" s="1"/>
  <c r="B34" i="25"/>
  <c r="C26" i="24"/>
  <c r="C26" i="25"/>
  <c r="C28" i="29"/>
  <c r="B34" i="27"/>
  <c r="C18" i="27"/>
  <c r="D27" i="26"/>
  <c r="F27" i="26" s="1"/>
  <c r="P176" i="15"/>
  <c r="R176" i="15" s="1"/>
  <c r="R228" i="15"/>
  <c r="S228" i="15"/>
  <c r="D20" i="24"/>
  <c r="F20" i="24" s="1"/>
  <c r="C17" i="25"/>
  <c r="B36" i="28"/>
  <c r="H46" i="27"/>
  <c r="D22" i="28"/>
  <c r="F22" i="28" s="1"/>
  <c r="H46" i="28"/>
  <c r="H41" i="28"/>
  <c r="H21" i="26"/>
  <c r="D47" i="29"/>
  <c r="F47" i="29" s="1"/>
  <c r="D29" i="24"/>
  <c r="F29" i="24" s="1"/>
  <c r="D30" i="24"/>
  <c r="F30" i="24" s="1"/>
  <c r="D37" i="30"/>
  <c r="F37" i="30" s="1"/>
  <c r="D43" i="31"/>
  <c r="F43" i="31" s="1"/>
  <c r="C25" i="27"/>
  <c r="B28" i="23"/>
  <c r="C29" i="24"/>
  <c r="H38" i="25"/>
  <c r="C41" i="25"/>
  <c r="B45" i="31"/>
  <c r="G35" i="16"/>
  <c r="H35" i="16" s="1"/>
  <c r="C41" i="26"/>
  <c r="H47" i="24"/>
  <c r="C17" i="26"/>
  <c r="H25" i="27"/>
  <c r="D46" i="29"/>
  <c r="F46" i="29" s="1"/>
  <c r="D31" i="27"/>
  <c r="F31" i="27" s="1"/>
  <c r="D37" i="25"/>
  <c r="F37" i="25" s="1"/>
  <c r="B18" i="29"/>
  <c r="C26" i="27"/>
  <c r="D36" i="26"/>
  <c r="F36" i="26" s="1"/>
  <c r="C35" i="27"/>
  <c r="H29" i="23"/>
  <c r="B33" i="28"/>
  <c r="C31" i="25"/>
  <c r="D31" i="23"/>
  <c r="F31" i="23" s="1"/>
  <c r="C36" i="29"/>
  <c r="B22" i="28"/>
  <c r="B20" i="29"/>
  <c r="H38" i="27"/>
  <c r="C21" i="23"/>
  <c r="H36" i="30"/>
  <c r="D33" i="29"/>
  <c r="F33" i="29" s="1"/>
  <c r="B38" i="25"/>
  <c r="B32" i="31"/>
  <c r="B46" i="30"/>
  <c r="H30" i="24"/>
  <c r="D38" i="24"/>
  <c r="F38" i="24" s="1"/>
  <c r="D45" i="31"/>
  <c r="F45" i="31" s="1"/>
  <c r="B41" i="31"/>
  <c r="H32" i="23"/>
  <c r="B42" i="29"/>
  <c r="B21" i="26"/>
  <c r="D23" i="24"/>
  <c r="F23" i="24" s="1"/>
  <c r="C27" i="23"/>
  <c r="B28" i="28"/>
  <c r="H44" i="25"/>
  <c r="D31" i="28"/>
  <c r="F31" i="28" s="1"/>
  <c r="D21" i="26"/>
  <c r="F21" i="26" s="1"/>
  <c r="B29" i="27"/>
  <c r="C25" i="23"/>
  <c r="H18" i="28"/>
  <c r="C37" i="28"/>
  <c r="C45" i="28"/>
  <c r="B44" i="27"/>
  <c r="B19" i="26"/>
  <c r="G21" i="16"/>
  <c r="H21" i="16" s="1"/>
  <c r="C29" i="31"/>
  <c r="C45" i="25"/>
  <c r="B28" i="31"/>
  <c r="C19" i="29"/>
  <c r="C46" i="24"/>
  <c r="D27" i="28"/>
  <c r="F27" i="28" s="1"/>
  <c r="C40" i="23"/>
  <c r="C19" i="26"/>
  <c r="D45" i="28"/>
  <c r="F45" i="28" s="1"/>
  <c r="C32" i="29"/>
  <c r="D29" i="28"/>
  <c r="F29" i="28" s="1"/>
  <c r="C31" i="26"/>
  <c r="D25" i="30"/>
  <c r="F25" i="30" s="1"/>
  <c r="B36" i="25"/>
  <c r="C28" i="25"/>
  <c r="J2" i="7"/>
  <c r="D34" i="31"/>
  <c r="F34" i="31" s="1"/>
  <c r="B18" i="26"/>
  <c r="C25" i="28"/>
  <c r="C47" i="29"/>
  <c r="D28" i="31"/>
  <c r="F28" i="31" s="1"/>
  <c r="B32" i="23"/>
  <c r="C22" i="31"/>
  <c r="H40" i="31"/>
  <c r="B39" i="23"/>
  <c r="B18" i="24"/>
  <c r="H17" i="29"/>
  <c r="B40" i="28"/>
  <c r="H30" i="26"/>
  <c r="H34" i="26"/>
  <c r="C39" i="24"/>
  <c r="B25" i="30"/>
  <c r="C22" i="28"/>
  <c r="C41" i="31"/>
  <c r="B35" i="29"/>
  <c r="B30" i="25"/>
  <c r="H35" i="26"/>
  <c r="H36" i="25"/>
  <c r="D17" i="24"/>
  <c r="F17" i="24" s="1"/>
  <c r="B29" i="25"/>
  <c r="B27" i="23"/>
  <c r="H32" i="24"/>
  <c r="D23" i="29"/>
  <c r="F23" i="29" s="1"/>
  <c r="G15" i="16"/>
  <c r="H15" i="16" s="1"/>
  <c r="D43" i="29"/>
  <c r="F43" i="29" s="1"/>
  <c r="H22" i="29"/>
  <c r="H34" i="23"/>
  <c r="C34" i="31"/>
  <c r="D21" i="29"/>
  <c r="F21" i="29" s="1"/>
  <c r="C20" i="27"/>
  <c r="H29" i="30"/>
  <c r="D33" i="23"/>
  <c r="F33" i="23" s="1"/>
  <c r="B39" i="24"/>
  <c r="C31" i="23"/>
  <c r="B21" i="25"/>
  <c r="B22" i="30"/>
  <c r="D43" i="30"/>
  <c r="F43" i="30" s="1"/>
  <c r="C39" i="25"/>
  <c r="D45" i="23"/>
  <c r="F45" i="23" s="1"/>
  <c r="D42" i="28"/>
  <c r="F42" i="28" s="1"/>
  <c r="B42" i="26"/>
  <c r="H42" i="31"/>
  <c r="H23" i="29"/>
  <c r="D21" i="31"/>
  <c r="F21" i="31" s="1"/>
  <c r="H44" i="24"/>
  <c r="C28" i="28"/>
  <c r="B44" i="23"/>
  <c r="H21" i="25"/>
  <c r="H33" i="24"/>
  <c r="B46" i="25"/>
  <c r="H42" i="24"/>
  <c r="H37" i="28"/>
  <c r="D27" i="23"/>
  <c r="F27" i="23" s="1"/>
  <c r="C23" i="29"/>
  <c r="D33" i="27"/>
  <c r="F33" i="27" s="1"/>
  <c r="D42" i="25"/>
  <c r="F42" i="25" s="1"/>
  <c r="B23" i="26"/>
  <c r="H43" i="27"/>
  <c r="D46" i="27"/>
  <c r="F46" i="27" s="1"/>
  <c r="B26" i="24"/>
  <c r="H46" i="24"/>
  <c r="G11" i="16"/>
  <c r="H11" i="16" s="1"/>
  <c r="D39" i="28"/>
  <c r="F39" i="28" s="1"/>
  <c r="D20" i="30"/>
  <c r="F20" i="30" s="1"/>
  <c r="B41" i="29"/>
  <c r="B36" i="23"/>
  <c r="G33" i="16"/>
  <c r="H33" i="16" s="1"/>
  <c r="C40" i="31"/>
  <c r="H41" i="27"/>
  <c r="H29" i="26"/>
  <c r="B40" i="27"/>
  <c r="C21" i="30"/>
  <c r="D41" i="24"/>
  <c r="F41" i="24" s="1"/>
  <c r="B35" i="25"/>
  <c r="C29" i="25"/>
  <c r="D44" i="29"/>
  <c r="F44" i="29" s="1"/>
  <c r="C46" i="28"/>
  <c r="G29" i="16"/>
  <c r="H29" i="16" s="1"/>
  <c r="B40" i="25"/>
  <c r="D41" i="30"/>
  <c r="F41" i="30" s="1"/>
  <c r="B34" i="29"/>
  <c r="C27" i="27"/>
  <c r="H24" i="25"/>
  <c r="C35" i="25"/>
  <c r="H19" i="24"/>
  <c r="H24" i="24"/>
  <c r="B46" i="26"/>
  <c r="H33" i="29"/>
  <c r="H31" i="29"/>
  <c r="C37" i="29"/>
  <c r="B33" i="31"/>
  <c r="C40" i="27"/>
  <c r="D19" i="30"/>
  <c r="F19" i="30" s="1"/>
  <c r="C38" i="27"/>
  <c r="H31" i="26"/>
  <c r="D17" i="27"/>
  <c r="F17" i="27" s="1"/>
  <c r="C31" i="27"/>
  <c r="H36" i="31"/>
  <c r="B36" i="31"/>
  <c r="C30" i="31"/>
  <c r="H38" i="26"/>
  <c r="B17" i="26"/>
  <c r="B231" i="15"/>
  <c r="X231" i="15" s="1"/>
  <c r="K231" i="15"/>
  <c r="J231" i="15"/>
  <c r="J222" i="15" s="1"/>
  <c r="S231" i="15"/>
  <c r="C47" i="24"/>
  <c r="B21" i="22"/>
  <c r="H38" i="22"/>
  <c r="H42" i="22"/>
  <c r="B17" i="21"/>
  <c r="D31" i="22"/>
  <c r="F31" i="22" s="1"/>
  <c r="C30" i="22"/>
  <c r="B47" i="22"/>
  <c r="C20" i="22"/>
  <c r="C22" i="22"/>
  <c r="C43" i="22"/>
  <c r="D25" i="22"/>
  <c r="F25" i="22" s="1"/>
  <c r="D22" i="22"/>
  <c r="F22" i="22" s="1"/>
  <c r="H19" i="22"/>
  <c r="C26" i="22"/>
  <c r="B28" i="22"/>
  <c r="D30" i="22"/>
  <c r="F30" i="22" s="1"/>
  <c r="H46" i="22"/>
  <c r="D35" i="22"/>
  <c r="F35" i="22" s="1"/>
  <c r="H36" i="22"/>
  <c r="H44" i="22"/>
  <c r="C34" i="22"/>
  <c r="B31" i="22"/>
  <c r="C40" i="22"/>
  <c r="C36" i="22"/>
  <c r="H31" i="22"/>
  <c r="B34" i="22"/>
  <c r="B37" i="22"/>
  <c r="C38" i="22"/>
  <c r="H17" i="22"/>
  <c r="H21" i="22"/>
  <c r="H37" i="22"/>
  <c r="H27" i="22"/>
  <c r="D46" i="22"/>
  <c r="F46" i="22" s="1"/>
  <c r="D41" i="22"/>
  <c r="F41" i="22" s="1"/>
  <c r="C29" i="22"/>
  <c r="H18" i="22"/>
  <c r="B32" i="22"/>
  <c r="B26" i="22"/>
  <c r="B17" i="22"/>
  <c r="B38" i="22"/>
  <c r="B22" i="22"/>
  <c r="C19" i="22"/>
  <c r="D28" i="22"/>
  <c r="F28" i="22" s="1"/>
  <c r="B40" i="22"/>
  <c r="D21" i="22"/>
  <c r="F21" i="22" s="1"/>
  <c r="C33" i="22"/>
  <c r="B20" i="22"/>
  <c r="C42" i="22"/>
  <c r="B46" i="22"/>
  <c r="H26" i="22"/>
  <c r="B43" i="22"/>
  <c r="B33" i="22"/>
  <c r="D17" i="21"/>
  <c r="F17" i="21" s="1"/>
  <c r="B29" i="22"/>
  <c r="H30" i="22"/>
  <c r="H35" i="22"/>
  <c r="D26" i="22"/>
  <c r="F26" i="22" s="1"/>
  <c r="C44" i="22"/>
  <c r="C25" i="22"/>
  <c r="H33" i="22"/>
  <c r="D18" i="22"/>
  <c r="F18" i="22" s="1"/>
  <c r="D42" i="22"/>
  <c r="F42" i="22" s="1"/>
  <c r="B39" i="22"/>
  <c r="C31" i="22"/>
  <c r="H25" i="22"/>
  <c r="C37" i="22"/>
  <c r="H40" i="22"/>
  <c r="B23" i="22"/>
  <c r="H28" i="22"/>
  <c r="C32" i="22"/>
  <c r="D32" i="22"/>
  <c r="F32" i="22" s="1"/>
  <c r="B30" i="22"/>
  <c r="D27" i="22"/>
  <c r="F27" i="22" s="1"/>
  <c r="C18" i="22"/>
  <c r="B25" i="22"/>
  <c r="H23" i="22"/>
  <c r="C24" i="22"/>
  <c r="D34" i="22"/>
  <c r="F34" i="22" s="1"/>
  <c r="D20" i="22"/>
  <c r="F20" i="22" s="1"/>
  <c r="C28" i="22"/>
  <c r="D39" i="22"/>
  <c r="F39" i="22" s="1"/>
  <c r="B24" i="22"/>
  <c r="C17" i="22"/>
  <c r="D19" i="22"/>
  <c r="F19" i="22" s="1"/>
  <c r="C46" i="22"/>
  <c r="B18" i="22"/>
  <c r="H43" i="22"/>
  <c r="D23" i="22"/>
  <c r="F23" i="22" s="1"/>
  <c r="C39" i="22"/>
  <c r="H17" i="21"/>
  <c r="C21" i="22"/>
  <c r="H24" i="22"/>
  <c r="D33" i="22"/>
  <c r="F33" i="22" s="1"/>
  <c r="H32" i="22"/>
  <c r="D36" i="22"/>
  <c r="F36" i="22" s="1"/>
  <c r="C47" i="22"/>
  <c r="B45" i="22"/>
  <c r="B27" i="22"/>
  <c r="H29" i="22"/>
  <c r="H41" i="22"/>
  <c r="C45" i="22"/>
  <c r="B41" i="22"/>
  <c r="C17" i="21"/>
  <c r="B42" i="22"/>
  <c r="H39" i="22"/>
  <c r="D24" i="22"/>
  <c r="F24" i="22" s="1"/>
  <c r="C23" i="22"/>
  <c r="C27" i="22"/>
  <c r="C41" i="22"/>
  <c r="D47" i="22"/>
  <c r="F47" i="22" s="1"/>
  <c r="B19" i="22"/>
  <c r="H20" i="22"/>
  <c r="D40" i="22"/>
  <c r="F40" i="22" s="1"/>
  <c r="H47" i="22"/>
  <c r="D29" i="22"/>
  <c r="F29" i="22" s="1"/>
  <c r="B36" i="22"/>
  <c r="D17" i="22"/>
  <c r="F17" i="22" s="1"/>
  <c r="H22" i="22"/>
  <c r="H34" i="22"/>
  <c r="C35" i="22"/>
  <c r="B44" i="22"/>
  <c r="H45" i="22"/>
  <c r="B35" i="22"/>
  <c r="B42" i="28"/>
  <c r="D40" i="25"/>
  <c r="F40" i="25" s="1"/>
  <c r="D27" i="29"/>
  <c r="F27" i="29" s="1"/>
  <c r="D26" i="29"/>
  <c r="F26" i="29" s="1"/>
  <c r="B46" i="20"/>
  <c r="B26" i="29"/>
  <c r="C33" i="26"/>
  <c r="H46" i="25"/>
  <c r="D20" i="28"/>
  <c r="F20" i="28" s="1"/>
  <c r="D28" i="28"/>
  <c r="F28" i="28" s="1"/>
  <c r="H47" i="29"/>
  <c r="H39" i="28"/>
  <c r="D30" i="28"/>
  <c r="F30" i="28" s="1"/>
  <c r="H19" i="31"/>
  <c r="D46" i="28"/>
  <c r="F46" i="28" s="1"/>
  <c r="D38" i="26"/>
  <c r="F38" i="26" s="1"/>
  <c r="C41" i="30"/>
  <c r="C40" i="30"/>
  <c r="C30" i="27"/>
  <c r="H40" i="26"/>
  <c r="D29" i="29"/>
  <c r="F29" i="29" s="1"/>
  <c r="B23" i="27"/>
  <c r="C44" i="24"/>
  <c r="B37" i="30"/>
  <c r="H17" i="26"/>
  <c r="B31" i="28"/>
  <c r="B23" i="24"/>
  <c r="B23" i="28"/>
  <c r="H24" i="26"/>
  <c r="B27" i="26"/>
  <c r="C23" i="26"/>
  <c r="C38" i="29"/>
  <c r="H17" i="24"/>
  <c r="C28" i="24"/>
  <c r="C20" i="24"/>
  <c r="H17" i="27"/>
  <c r="D45" i="27"/>
  <c r="F45" i="27" s="1"/>
  <c r="B38" i="27"/>
  <c r="C36" i="27"/>
  <c r="C30" i="29"/>
  <c r="D38" i="25"/>
  <c r="F38" i="25" s="1"/>
  <c r="B35" i="24"/>
  <c r="B28" i="27"/>
  <c r="D44" i="26"/>
  <c r="F44" i="26" s="1"/>
  <c r="H37" i="30"/>
  <c r="H42" i="28"/>
  <c r="B30" i="28"/>
  <c r="D47" i="30"/>
  <c r="F47" i="30" s="1"/>
  <c r="H27" i="23"/>
  <c r="D27" i="24"/>
  <c r="F27" i="24" s="1"/>
  <c r="D17" i="30"/>
  <c r="F17" i="30" s="1"/>
  <c r="B27" i="25"/>
  <c r="H43" i="26"/>
  <c r="H32" i="25"/>
  <c r="C25" i="29"/>
  <c r="H45" i="29"/>
  <c r="B18" i="30"/>
  <c r="D26" i="25"/>
  <c r="F26" i="25" s="1"/>
  <c r="B41" i="30"/>
  <c r="C32" i="25"/>
  <c r="B35" i="28"/>
  <c r="D24" i="27"/>
  <c r="F24" i="27" s="1"/>
  <c r="H27" i="29"/>
  <c r="H38" i="29"/>
  <c r="B34" i="28"/>
  <c r="C43" i="29"/>
  <c r="H44" i="31"/>
  <c r="D21" i="24"/>
  <c r="F21" i="24" s="1"/>
  <c r="H34" i="24"/>
  <c r="D31" i="31"/>
  <c r="F31" i="31" s="1"/>
  <c r="D37" i="22"/>
  <c r="F37" i="22" s="1"/>
  <c r="C44" i="31"/>
  <c r="H28" i="28"/>
  <c r="C24" i="31"/>
  <c r="D39" i="27"/>
  <c r="F39" i="27" s="1"/>
  <c r="H17" i="31"/>
  <c r="B28" i="30"/>
  <c r="B29" i="28"/>
  <c r="B23" i="29"/>
  <c r="C38" i="30"/>
  <c r="B33" i="29"/>
  <c r="D17" i="31"/>
  <c r="F17" i="31" s="1"/>
  <c r="B23" i="23"/>
  <c r="H32" i="31"/>
  <c r="H20" i="27"/>
  <c r="B37" i="24"/>
  <c r="H22" i="27"/>
  <c r="B34" i="24"/>
  <c r="B29" i="29"/>
  <c r="C29" i="28"/>
  <c r="B17" i="25"/>
  <c r="H28" i="25"/>
  <c r="B27" i="24"/>
  <c r="D30" i="23"/>
  <c r="F30" i="23" s="1"/>
  <c r="D27" i="30"/>
  <c r="F27" i="30" s="1"/>
  <c r="H44" i="27"/>
  <c r="C32" i="30"/>
  <c r="H33" i="27"/>
  <c r="C27" i="25"/>
  <c r="H35" i="28"/>
  <c r="H26" i="23"/>
  <c r="B34" i="23"/>
  <c r="H18" i="25"/>
  <c r="B31" i="24"/>
  <c r="H31" i="23"/>
  <c r="D19" i="29"/>
  <c r="F19" i="29" s="1"/>
  <c r="B25" i="29"/>
  <c r="B20" i="28"/>
  <c r="C40" i="24"/>
  <c r="H19" i="27"/>
  <c r="G34" i="16"/>
  <c r="H34" i="16" s="1"/>
  <c r="H43" i="31"/>
  <c r="H34" i="29"/>
  <c r="D34" i="25"/>
  <c r="F34" i="25" s="1"/>
  <c r="B26" i="26"/>
  <c r="D18" i="25"/>
  <c r="F18" i="25" s="1"/>
  <c r="C26" i="31"/>
  <c r="H42" i="27"/>
  <c r="C34" i="23"/>
  <c r="B22" i="23"/>
  <c r="D28" i="25"/>
  <c r="F28" i="25" s="1"/>
  <c r="D22" i="31"/>
  <c r="F22" i="31" s="1"/>
  <c r="D28" i="23"/>
  <c r="F28" i="23" s="1"/>
  <c r="H25" i="25"/>
  <c r="D25" i="28"/>
  <c r="F25" i="28" s="1"/>
  <c r="H22" i="25"/>
  <c r="B24" i="27"/>
  <c r="D32" i="31"/>
  <c r="F32" i="31" s="1"/>
  <c r="H28" i="27"/>
  <c r="D44" i="25"/>
  <c r="F44" i="25" s="1"/>
  <c r="H41" i="23"/>
  <c r="D18" i="24"/>
  <c r="F18" i="24" s="1"/>
  <c r="C23" i="31"/>
  <c r="H31" i="31"/>
  <c r="C32" i="26"/>
  <c r="D25" i="25"/>
  <c r="F25" i="25" s="1"/>
  <c r="C25" i="24"/>
  <c r="D25" i="24"/>
  <c r="F25" i="24" s="1"/>
  <c r="C24" i="29"/>
  <c r="H22" i="24"/>
  <c r="C26" i="28"/>
  <c r="C31" i="31"/>
  <c r="C47" i="26"/>
  <c r="H45" i="25"/>
  <c r="B34" i="26"/>
  <c r="B31" i="31"/>
  <c r="D19" i="31"/>
  <c r="F19" i="31" s="1"/>
  <c r="H23" i="23"/>
  <c r="B45" i="23"/>
  <c r="H25" i="23"/>
  <c r="I203" i="15"/>
  <c r="D37" i="20"/>
  <c r="F37" i="20" s="1"/>
  <c r="D30" i="27"/>
  <c r="F30" i="27" s="1"/>
  <c r="C36" i="23"/>
  <c r="B21" i="30"/>
  <c r="C42" i="26"/>
  <c r="B36" i="30"/>
  <c r="B44" i="31"/>
  <c r="P149" i="15"/>
  <c r="R149" i="15" s="1"/>
  <c r="R142" i="15" s="1"/>
  <c r="G141" i="15"/>
  <c r="H17" i="25"/>
  <c r="D35" i="26"/>
  <c r="F35" i="26" s="1"/>
  <c r="C27" i="30"/>
  <c r="C21" i="31"/>
  <c r="D27" i="25"/>
  <c r="F27" i="25" s="1"/>
  <c r="B20" i="27"/>
  <c r="D37" i="27"/>
  <c r="F37" i="27" s="1"/>
  <c r="D45" i="30"/>
  <c r="F45" i="30" s="1"/>
  <c r="B43" i="30"/>
  <c r="B24" i="30"/>
  <c r="D35" i="23"/>
  <c r="F35" i="23" s="1"/>
  <c r="H24" i="28"/>
  <c r="H36" i="28"/>
  <c r="H20" i="28"/>
  <c r="C44" i="30"/>
  <c r="H20" i="24"/>
  <c r="C41" i="27"/>
  <c r="C37" i="23"/>
  <c r="C45" i="26"/>
  <c r="H38" i="31"/>
  <c r="D18" i="29"/>
  <c r="F18" i="29" s="1"/>
  <c r="D24" i="23"/>
  <c r="F24" i="23" s="1"/>
  <c r="C37" i="31"/>
  <c r="G24" i="16"/>
  <c r="H24" i="16" s="1"/>
  <c r="D26" i="23"/>
  <c r="F26" i="23" s="1"/>
  <c r="H28" i="30"/>
  <c r="D19" i="25"/>
  <c r="F19" i="25" s="1"/>
  <c r="D18" i="28"/>
  <c r="F18" i="28" s="1"/>
  <c r="G16" i="16"/>
  <c r="H16" i="16" s="1"/>
  <c r="D29" i="31"/>
  <c r="F29" i="31" s="1"/>
  <c r="B37" i="26"/>
  <c r="H40" i="28"/>
  <c r="C43" i="26"/>
  <c r="B38" i="29"/>
  <c r="C41" i="23"/>
  <c r="C32" i="31"/>
  <c r="B31" i="26"/>
  <c r="H40" i="27"/>
  <c r="D31" i="26"/>
  <c r="F31" i="26" s="1"/>
  <c r="H26" i="31"/>
  <c r="H18" i="27"/>
  <c r="H21" i="29"/>
  <c r="H27" i="27"/>
  <c r="D42" i="31"/>
  <c r="F42" i="31" s="1"/>
  <c r="B18" i="31"/>
  <c r="C258" i="15"/>
  <c r="W259" i="15"/>
  <c r="W258" i="15"/>
  <c r="D33" i="28"/>
  <c r="F33" i="28" s="1"/>
  <c r="D29" i="30"/>
  <c r="F29" i="30" s="1"/>
  <c r="C24" i="28"/>
  <c r="B26" i="27"/>
  <c r="C28" i="31"/>
  <c r="C33" i="25"/>
  <c r="D26" i="24"/>
  <c r="F26" i="24" s="1"/>
  <c r="D24" i="28"/>
  <c r="F24" i="28" s="1"/>
  <c r="C38" i="24"/>
  <c r="H21" i="24"/>
  <c r="B37" i="31"/>
  <c r="D44" i="22"/>
  <c r="F44" i="22" s="1"/>
  <c r="B24" i="25"/>
  <c r="C39" i="31"/>
  <c r="C33" i="28"/>
  <c r="H26" i="30"/>
  <c r="H33" i="28"/>
  <c r="B39" i="26"/>
  <c r="C30" i="26"/>
  <c r="H45" i="31"/>
  <c r="H34" i="30"/>
  <c r="D33" i="26"/>
  <c r="F33" i="26" s="1"/>
  <c r="C21" i="26"/>
  <c r="D32" i="23"/>
  <c r="F32" i="23" s="1"/>
  <c r="B47" i="28"/>
  <c r="B43" i="29"/>
  <c r="H27" i="24"/>
  <c r="H35" i="27"/>
  <c r="D32" i="30"/>
  <c r="F32" i="30" s="1"/>
  <c r="D17" i="25"/>
  <c r="F17" i="25" s="1"/>
  <c r="H33" i="23"/>
  <c r="D24" i="24"/>
  <c r="F24" i="24" s="1"/>
  <c r="D43" i="22"/>
  <c r="F43" i="22" s="1"/>
  <c r="B38" i="24"/>
  <c r="B20" i="30"/>
  <c r="C33" i="23"/>
  <c r="C19" i="28"/>
  <c r="G26" i="16"/>
  <c r="H26" i="16" s="1"/>
  <c r="B34" i="30"/>
  <c r="H28" i="29"/>
  <c r="B41" i="28"/>
  <c r="B38" i="26"/>
  <c r="G18" i="16"/>
  <c r="H18" i="16" s="1"/>
  <c r="C43" i="31"/>
  <c r="G13" i="16"/>
  <c r="H13" i="16" s="1"/>
  <c r="C44" i="29"/>
  <c r="B26" i="31"/>
  <c r="D41" i="29"/>
  <c r="F41" i="29" s="1"/>
  <c r="C31" i="30"/>
  <c r="D18" i="30"/>
  <c r="F18" i="30" s="1"/>
  <c r="D40" i="26"/>
  <c r="F40" i="26" s="1"/>
  <c r="D36" i="25"/>
  <c r="F36" i="25" s="1"/>
  <c r="G36" i="16"/>
  <c r="H36" i="16" s="1"/>
  <c r="B17" i="30"/>
  <c r="D43" i="24"/>
  <c r="F43" i="24" s="1"/>
  <c r="D24" i="31"/>
  <c r="F24" i="31" s="1"/>
  <c r="H26" i="28"/>
  <c r="B31" i="23"/>
  <c r="C46" i="30"/>
  <c r="D25" i="26"/>
  <c r="F25" i="26" s="1"/>
  <c r="H29" i="31"/>
  <c r="H23" i="27"/>
  <c r="H31" i="25"/>
  <c r="D17" i="28"/>
  <c r="F17" i="28" s="1"/>
  <c r="B40" i="31"/>
  <c r="B31" i="29"/>
  <c r="C47" i="28"/>
  <c r="H29" i="27"/>
  <c r="D28" i="27"/>
  <c r="F28" i="27" s="1"/>
  <c r="C47" i="27"/>
  <c r="C24" i="27"/>
  <c r="C18" i="31"/>
  <c r="B44" i="26"/>
  <c r="C23" i="27"/>
  <c r="C34" i="29"/>
  <c r="C28" i="30"/>
  <c r="D30" i="29"/>
  <c r="F30" i="29" s="1"/>
  <c r="C28" i="23"/>
  <c r="D47" i="26"/>
  <c r="F47" i="26" s="1"/>
  <c r="D36" i="24"/>
  <c r="F36" i="24" s="1"/>
  <c r="C34" i="27"/>
  <c r="B45" i="29"/>
  <c r="D25" i="29"/>
  <c r="F25" i="29" s="1"/>
  <c r="H19" i="30"/>
  <c r="G9" i="16"/>
  <c r="H9" i="16" s="1"/>
  <c r="H31" i="27"/>
  <c r="D33" i="31"/>
  <c r="F33" i="31" s="1"/>
  <c r="C28" i="26"/>
  <c r="C42" i="27"/>
  <c r="G22" i="16"/>
  <c r="H22" i="16" s="1"/>
  <c r="B35" i="27"/>
  <c r="H41" i="31"/>
  <c r="H45" i="23"/>
  <c r="D47" i="27"/>
  <c r="F47" i="27" s="1"/>
  <c r="D30" i="31"/>
  <c r="F30" i="31" s="1"/>
  <c r="H28" i="23"/>
  <c r="B46" i="28"/>
  <c r="H45" i="30"/>
  <c r="C21" i="28"/>
  <c r="D37" i="31"/>
  <c r="F37" i="31" s="1"/>
  <c r="C45" i="24"/>
  <c r="H35" i="23"/>
  <c r="B21" i="24"/>
  <c r="H39" i="23"/>
  <c r="B43" i="24"/>
  <c r="D28" i="30"/>
  <c r="F28" i="30" s="1"/>
  <c r="C17" i="29"/>
  <c r="B25" i="25"/>
  <c r="B42" i="27"/>
  <c r="H30" i="23"/>
  <c r="B32" i="26"/>
  <c r="C40" i="29"/>
  <c r="D40" i="24"/>
  <c r="F40" i="24" s="1"/>
  <c r="H20" i="30"/>
  <c r="H39" i="25"/>
  <c r="D40" i="23"/>
  <c r="F40" i="23" s="1"/>
  <c r="G32" i="16"/>
  <c r="H32" i="16" s="1"/>
  <c r="D43" i="25"/>
  <c r="F43" i="25" s="1"/>
  <c r="D37" i="29"/>
  <c r="F37" i="29" s="1"/>
  <c r="B25" i="23"/>
  <c r="C17" i="28"/>
  <c r="B26" i="23"/>
  <c r="H44" i="26"/>
  <c r="C38" i="26"/>
  <c r="B43" i="25"/>
  <c r="C17" i="31"/>
  <c r="D28" i="24"/>
  <c r="F28" i="24" s="1"/>
  <c r="H17" i="30"/>
  <c r="C26" i="30"/>
  <c r="D25" i="23"/>
  <c r="F25" i="23" s="1"/>
  <c r="B47" i="23"/>
  <c r="H34" i="28"/>
  <c r="H39" i="31"/>
  <c r="H40" i="29"/>
  <c r="H40" i="25"/>
  <c r="B43" i="27"/>
  <c r="H34" i="31"/>
  <c r="H18" i="30"/>
  <c r="D32" i="25"/>
  <c r="F32" i="25" s="1"/>
  <c r="H41" i="30"/>
  <c r="H35" i="29"/>
  <c r="D45" i="26"/>
  <c r="F45" i="26" s="1"/>
  <c r="B42" i="25"/>
  <c r="D29" i="23"/>
  <c r="F29" i="23" s="1"/>
  <c r="H38" i="30"/>
  <c r="C38" i="28"/>
  <c r="H45" i="28"/>
  <c r="D39" i="25"/>
  <c r="F39" i="25" s="1"/>
  <c r="B30" i="30"/>
  <c r="C29" i="23"/>
  <c r="H38" i="24"/>
  <c r="H47" i="30"/>
  <c r="H26" i="25"/>
  <c r="H22" i="23"/>
  <c r="D38" i="27"/>
  <c r="F38" i="27" s="1"/>
  <c r="B25" i="31"/>
  <c r="H21" i="31"/>
  <c r="B41" i="24"/>
  <c r="C36" i="24"/>
  <c r="C41" i="24"/>
  <c r="C23" i="25"/>
  <c r="H37" i="31"/>
  <c r="H28" i="31"/>
  <c r="B37" i="28"/>
  <c r="B36" i="27"/>
  <c r="C39" i="26"/>
  <c r="C36" i="28"/>
  <c r="D34" i="27"/>
  <c r="F34" i="27" s="1"/>
  <c r="C39" i="23"/>
  <c r="C43" i="30"/>
  <c r="D23" i="28"/>
  <c r="F23" i="28" s="1"/>
  <c r="C19" i="31"/>
  <c r="D17" i="29"/>
  <c r="F17" i="29" s="1"/>
  <c r="H26" i="29"/>
  <c r="C19" i="24"/>
  <c r="C18" i="26"/>
  <c r="H31" i="28"/>
  <c r="H17" i="28"/>
  <c r="B31" i="27"/>
  <c r="D37" i="26"/>
  <c r="F37" i="26" s="1"/>
  <c r="H45" i="26"/>
  <c r="D34" i="28"/>
  <c r="F34" i="28" s="1"/>
  <c r="C24" i="24"/>
  <c r="B46" i="24"/>
  <c r="D45" i="24"/>
  <c r="F45" i="24" s="1"/>
  <c r="H37" i="26"/>
  <c r="H18" i="29"/>
  <c r="B17" i="27"/>
  <c r="C30" i="24"/>
  <c r="H22" i="26"/>
  <c r="D31" i="30"/>
  <c r="F31" i="30" s="1"/>
  <c r="H25" i="24"/>
  <c r="C31" i="28"/>
  <c r="C39" i="27"/>
  <c r="C19" i="30"/>
  <c r="D21" i="28"/>
  <c r="F21" i="28" s="1"/>
  <c r="S201" i="15"/>
  <c r="S196" i="15" s="1"/>
  <c r="R201" i="15"/>
  <c r="H30" i="29"/>
  <c r="B17" i="31"/>
  <c r="G14" i="16"/>
  <c r="H14" i="16" s="1"/>
  <c r="G31" i="16"/>
  <c r="H31" i="16" s="1"/>
  <c r="C46" i="29"/>
  <c r="D38" i="23"/>
  <c r="F38" i="23" s="1"/>
  <c r="I177" i="15"/>
  <c r="P177" i="15" s="1"/>
  <c r="R177" i="15" s="1"/>
  <c r="D31" i="20"/>
  <c r="F31" i="20" s="1"/>
  <c r="B26" i="30"/>
  <c r="H38" i="23"/>
  <c r="B32" i="30"/>
  <c r="C18" i="29"/>
  <c r="C44" i="27"/>
  <c r="C25" i="30"/>
  <c r="H23" i="26"/>
  <c r="C23" i="30"/>
  <c r="B28" i="29"/>
  <c r="H25" i="26"/>
  <c r="H204" i="15"/>
  <c r="G204" i="15" s="1"/>
  <c r="B38" i="20"/>
  <c r="C45" i="27"/>
  <c r="D23" i="25"/>
  <c r="F23" i="25" s="1"/>
  <c r="B40" i="30"/>
  <c r="B39" i="30"/>
  <c r="D25" i="31"/>
  <c r="F25" i="31" s="1"/>
  <c r="B41" i="25"/>
  <c r="D32" i="28"/>
  <c r="F32" i="28" s="1"/>
  <c r="D34" i="26"/>
  <c r="F34" i="26" s="1"/>
  <c r="C30" i="23"/>
  <c r="B28" i="25"/>
  <c r="C41" i="28"/>
  <c r="C30" i="28"/>
  <c r="H20" i="26"/>
  <c r="C34" i="24"/>
  <c r="C36" i="25"/>
  <c r="B43" i="28"/>
  <c r="B22" i="26"/>
  <c r="H36" i="23"/>
  <c r="B32" i="25"/>
  <c r="B29" i="26"/>
  <c r="D23" i="26"/>
  <c r="F23" i="26" s="1"/>
  <c r="B33" i="24"/>
  <c r="C33" i="29"/>
  <c r="H40" i="30"/>
  <c r="B43" i="23"/>
  <c r="C30" i="30"/>
  <c r="C42" i="23"/>
  <c r="B35" i="26"/>
  <c r="H32" i="30"/>
  <c r="D19" i="26"/>
  <c r="F19" i="26" s="1"/>
  <c r="D42" i="24"/>
  <c r="F42" i="24" s="1"/>
  <c r="D40" i="28"/>
  <c r="F40" i="28" s="1"/>
  <c r="B47" i="27"/>
  <c r="H25" i="31"/>
  <c r="H18" i="26"/>
  <c r="B35" i="31"/>
  <c r="B45" i="28"/>
  <c r="H19" i="26"/>
  <c r="H25" i="28"/>
  <c r="B27" i="28"/>
  <c r="D36" i="30"/>
  <c r="F36" i="30" s="1"/>
  <c r="C32" i="28"/>
  <c r="D29" i="27"/>
  <c r="F29" i="27" s="1"/>
  <c r="C46" i="26"/>
  <c r="H46" i="31"/>
  <c r="B37" i="29"/>
  <c r="G19" i="16"/>
  <c r="H19" i="16" s="1"/>
  <c r="D42" i="30"/>
  <c r="F42" i="30" s="1"/>
  <c r="H29" i="24"/>
  <c r="B41" i="27"/>
  <c r="B46" i="23"/>
  <c r="C23" i="24"/>
  <c r="B19" i="25"/>
  <c r="B42" i="23"/>
  <c r="R255" i="15"/>
  <c r="S255" i="15"/>
  <c r="S223" i="15" l="1"/>
  <c r="N54" i="10"/>
  <c r="N55" i="10" s="1" a="1"/>
  <c r="N55" i="10" s="1"/>
  <c r="S41" i="10"/>
  <c r="S42" i="10" s="1" a="1"/>
  <c r="S42" i="10" s="1"/>
  <c r="T39" i="10"/>
  <c r="P50" i="10"/>
  <c r="P51" i="10" s="1" a="1"/>
  <c r="P51" i="10" s="1"/>
  <c r="O52" i="10"/>
  <c r="O53" i="10" s="1" a="1"/>
  <c r="O53" i="10" s="1"/>
  <c r="R46" i="10"/>
  <c r="R48" i="10" s="1"/>
  <c r="R49" i="10" s="1" a="1"/>
  <c r="R49" i="10" s="1"/>
  <c r="Q48" i="10"/>
  <c r="Q49" i="10" s="1" a="1"/>
  <c r="Q49" i="10" s="1"/>
  <c r="I230" i="15"/>
  <c r="D44" i="20"/>
  <c r="F44" i="20" s="1"/>
  <c r="H231" i="15"/>
  <c r="G231" i="15" s="1"/>
  <c r="B45" i="20"/>
  <c r="G168" i="15"/>
  <c r="P203" i="15"/>
  <c r="R203" i="15" s="1"/>
  <c r="R169" i="15"/>
  <c r="B258" i="15"/>
  <c r="X258" i="15" s="1"/>
  <c r="K258" i="15"/>
  <c r="H258" i="15"/>
  <c r="G258" i="15" s="1"/>
  <c r="I258" i="15" s="1"/>
  <c r="P258" i="15" s="1"/>
  <c r="R258" i="15" s="1"/>
  <c r="J258" i="15"/>
  <c r="J249" i="15" s="1"/>
  <c r="S258" i="15"/>
  <c r="S250" i="15" s="1"/>
  <c r="I204" i="15"/>
  <c r="P204" i="15" s="1"/>
  <c r="R204" i="15" s="1"/>
  <c r="D38" i="20"/>
  <c r="F38" i="20" s="1"/>
  <c r="K257" i="15"/>
  <c r="H257" i="15"/>
  <c r="B20" i="23"/>
  <c r="R50" i="10" l="1"/>
  <c r="R51" i="10" s="1" a="1"/>
  <c r="R51" i="10" s="1"/>
  <c r="O54" i="10"/>
  <c r="O55" i="10" s="1" a="1"/>
  <c r="O55" i="10" s="1"/>
  <c r="N59" i="10"/>
  <c r="N60" i="10" s="1" a="1"/>
  <c r="N60" i="10" s="1"/>
  <c r="Q50" i="10"/>
  <c r="Q51" i="10" s="1" a="1"/>
  <c r="Q51" i="10" s="1"/>
  <c r="P52" i="10"/>
  <c r="P53" i="10" s="1" a="1"/>
  <c r="P53" i="10" s="1"/>
  <c r="T41" i="10"/>
  <c r="T43" i="10" s="1"/>
  <c r="S46" i="10"/>
  <c r="S47" i="10" s="1" a="1"/>
  <c r="S47" i="10" s="1"/>
  <c r="G195" i="15"/>
  <c r="D17" i="7"/>
  <c r="D15" i="7"/>
  <c r="D19" i="7"/>
  <c r="D16" i="7"/>
  <c r="D18" i="7"/>
  <c r="I231" i="15"/>
  <c r="P231" i="15" s="1"/>
  <c r="R231" i="15" s="1"/>
  <c r="D45" i="20"/>
  <c r="F45" i="20" s="1"/>
  <c r="P230" i="15"/>
  <c r="R230" i="15" s="1"/>
  <c r="R223" i="15" s="1"/>
  <c r="G222" i="15"/>
  <c r="H47" i="31"/>
  <c r="D22" i="24"/>
  <c r="F22" i="24" s="1"/>
  <c r="H42" i="26"/>
  <c r="B24" i="31"/>
  <c r="C18" i="28"/>
  <c r="C31" i="24"/>
  <c r="H29" i="29"/>
  <c r="D40" i="27"/>
  <c r="F40" i="27" s="1"/>
  <c r="C43" i="28"/>
  <c r="C42" i="28"/>
  <c r="B37" i="27"/>
  <c r="B19" i="30"/>
  <c r="B37" i="25"/>
  <c r="D26" i="30"/>
  <c r="F26" i="30" s="1"/>
  <c r="H34" i="27"/>
  <c r="B44" i="24"/>
  <c r="B18" i="25"/>
  <c r="D21" i="23"/>
  <c r="F21" i="23" s="1"/>
  <c r="B21" i="23"/>
  <c r="G257" i="15"/>
  <c r="D20" i="23" s="1"/>
  <c r="F20" i="23" s="1"/>
  <c r="R196" i="15"/>
  <c r="Q52" i="10" l="1"/>
  <c r="Q53" i="10" s="1" a="1"/>
  <c r="Q53" i="10" s="1"/>
  <c r="N61" i="10"/>
  <c r="N62" i="10" s="1" a="1"/>
  <c r="N62" i="10" s="1"/>
  <c r="S48" i="10"/>
  <c r="S49" i="10" s="1" a="1"/>
  <c r="S49" i="10" s="1"/>
  <c r="T46" i="10"/>
  <c r="P54" i="10"/>
  <c r="P55" i="10" s="1" a="1"/>
  <c r="P55" i="10" s="1"/>
  <c r="R52" i="10"/>
  <c r="R53" i="10" s="1" a="1"/>
  <c r="R53" i="10" s="1"/>
  <c r="O59" i="10"/>
  <c r="O60" i="10" s="1" a="1"/>
  <c r="O60" i="10" s="1"/>
  <c r="I257" i="15"/>
  <c r="P257" i="15"/>
  <c r="R257" i="15" s="1"/>
  <c r="R250" i="15" s="1"/>
  <c r="G249" i="15"/>
  <c r="J3" i="7" s="1"/>
  <c r="D13" i="7"/>
  <c r="R54" i="10" l="1"/>
  <c r="R55" i="10" s="1" a="1"/>
  <c r="R55" i="10" s="1"/>
  <c r="P59" i="10"/>
  <c r="P60" i="10" s="1" a="1"/>
  <c r="P60" i="10" s="1"/>
  <c r="N63" i="10"/>
  <c r="N64" i="10" s="1" a="1"/>
  <c r="N64" i="10" s="1"/>
  <c r="O61" i="10"/>
  <c r="O62" i="10" s="1" a="1"/>
  <c r="O62" i="10" s="1"/>
  <c r="T48" i="10"/>
  <c r="S50" i="10"/>
  <c r="S51" i="10" s="1" a="1"/>
  <c r="S51" i="10" s="1"/>
  <c r="Q54" i="10"/>
  <c r="Q55" i="10" s="1" a="1"/>
  <c r="Q55" i="10" s="1"/>
  <c r="J6" i="7"/>
  <c r="J7" i="7"/>
  <c r="J5" i="7"/>
  <c r="O63" i="10" l="1"/>
  <c r="O64" i="10" s="1" a="1"/>
  <c r="O64" i="10" s="1"/>
  <c r="N65" i="10"/>
  <c r="N66" i="10" s="1" a="1"/>
  <c r="N66" i="10" s="1"/>
  <c r="S52" i="10"/>
  <c r="S53" i="10" s="1" a="1"/>
  <c r="S53" i="10" s="1"/>
  <c r="T50" i="10"/>
  <c r="R59" i="10"/>
  <c r="R60" i="10" s="1" a="1"/>
  <c r="R60" i="10" s="1"/>
  <c r="T54" i="10"/>
  <c r="Q59" i="10"/>
  <c r="Q60" i="10" s="1" a="1"/>
  <c r="Q60" i="10" s="1"/>
  <c r="P61" i="10"/>
  <c r="P62" i="10" s="1" a="1"/>
  <c r="P62" i="10" s="1"/>
  <c r="Q61" i="10" l="1"/>
  <c r="Q62" i="10" s="1" a="1"/>
  <c r="Q62" i="10" s="1"/>
  <c r="R61" i="10"/>
  <c r="R62" i="10" s="1" a="1"/>
  <c r="R62" i="10" s="1"/>
  <c r="T59" i="10"/>
  <c r="O65" i="10"/>
  <c r="O66" i="10" s="1" a="1"/>
  <c r="O66" i="10" s="1"/>
  <c r="P63" i="10"/>
  <c r="P64" i="10" s="1" a="1"/>
  <c r="P64" i="10" s="1"/>
  <c r="S54" i="10"/>
  <c r="S59" i="10" s="1"/>
  <c r="S61" i="10" s="1"/>
  <c r="S62" i="10" s="1" a="1"/>
  <c r="S62" i="10" s="1"/>
  <c r="T52" i="10"/>
  <c r="T56" i="10" s="1"/>
  <c r="N67" i="10"/>
  <c r="N68" i="10" s="1" a="1"/>
  <c r="N68" i="10" s="1"/>
  <c r="S63" i="10" l="1"/>
  <c r="S64" i="10" s="1" a="1"/>
  <c r="S64" i="10" s="1"/>
  <c r="O67" i="10"/>
  <c r="O68" i="10" s="1" a="1"/>
  <c r="O68" i="10" s="1"/>
  <c r="P65" i="10"/>
  <c r="P66" i="10" s="1" a="1"/>
  <c r="P66" i="10" s="1"/>
  <c r="R63" i="10"/>
  <c r="R64" i="10" s="1" a="1"/>
  <c r="R64" i="10" s="1"/>
  <c r="Q63" i="10"/>
  <c r="Q64" i="10" s="1" a="1"/>
  <c r="Q64" i="10" s="1"/>
  <c r="T61" i="10"/>
  <c r="N72" i="10"/>
  <c r="N73" i="10" s="1" a="1"/>
  <c r="N73" i="10" s="1"/>
  <c r="Q65" i="10" l="1"/>
  <c r="Q66" i="10" s="1" a="1"/>
  <c r="Q66" i="10" s="1"/>
  <c r="N74" i="10"/>
  <c r="N75" i="10" s="1" a="1"/>
  <c r="N75" i="10" s="1"/>
  <c r="O72" i="10"/>
  <c r="O73" i="10" s="1" a="1"/>
  <c r="O73" i="10" s="1"/>
  <c r="T63" i="10"/>
  <c r="S65" i="10"/>
  <c r="S66" i="10" s="1" a="1"/>
  <c r="S66" i="10" s="1"/>
  <c r="R65" i="10"/>
  <c r="R66" i="10" s="1" a="1"/>
  <c r="R66" i="10" s="1"/>
  <c r="P67" i="10"/>
  <c r="P68" i="10" s="1" a="1"/>
  <c r="P68" i="10" s="1"/>
  <c r="R67" i="10" l="1"/>
  <c r="R68" i="10" s="1" a="1"/>
  <c r="R68" i="10" s="1"/>
  <c r="S67" i="10"/>
  <c r="S68" i="10" s="1" a="1"/>
  <c r="S68" i="10" s="1"/>
  <c r="O74" i="10"/>
  <c r="O75" i="10" s="1" a="1"/>
  <c r="O75" i="10" s="1"/>
  <c r="P72" i="10"/>
  <c r="P73" i="10" s="1" a="1"/>
  <c r="P73" i="10" s="1"/>
  <c r="N76" i="10"/>
  <c r="N77" i="10" s="1" a="1"/>
  <c r="N77" i="10" s="1"/>
  <c r="Q67" i="10"/>
  <c r="Q68" i="10" s="1" a="1"/>
  <c r="Q68" i="10" s="1"/>
  <c r="T65" i="10" l="1"/>
  <c r="O76" i="10"/>
  <c r="O77" i="10" s="1" a="1"/>
  <c r="O77" i="10" s="1"/>
  <c r="S72" i="10"/>
  <c r="S73" i="10" s="1" a="1"/>
  <c r="S73" i="10" s="1"/>
  <c r="P74" i="10"/>
  <c r="P75" i="10" s="1" a="1"/>
  <c r="P75" i="10" s="1"/>
  <c r="Q72" i="10"/>
  <c r="Q73" i="10" s="1" a="1"/>
  <c r="Q73" i="10" s="1"/>
  <c r="N78" i="10"/>
  <c r="N79" i="10" s="1" a="1"/>
  <c r="N79" i="10" s="1"/>
  <c r="R72" i="10"/>
  <c r="R73" i="10" s="1" a="1"/>
  <c r="R73" i="10" s="1"/>
  <c r="T67" i="10" l="1"/>
  <c r="T69" i="10" s="1"/>
  <c r="R74" i="10"/>
  <c r="R75" i="10" s="1" a="1"/>
  <c r="R75" i="10" s="1"/>
  <c r="O78" i="10"/>
  <c r="O79" i="10" s="1" a="1"/>
  <c r="O79" i="10" s="1"/>
  <c r="Q74" i="10"/>
  <c r="Q75" i="10" s="1" a="1"/>
  <c r="Q75" i="10" s="1"/>
  <c r="P76" i="10"/>
  <c r="P77" i="10" s="1" a="1"/>
  <c r="P77" i="10" s="1"/>
  <c r="T72" i="10"/>
  <c r="S74" i="10"/>
  <c r="S75" i="10" s="1" a="1"/>
  <c r="S75" i="10" s="1"/>
  <c r="N80" i="10"/>
  <c r="P78" i="10" l="1"/>
  <c r="P79" i="10" s="1" a="1"/>
  <c r="P79" i="10" s="1"/>
  <c r="Q76" i="10"/>
  <c r="Q77" i="10" s="1" a="1"/>
  <c r="Q77" i="10" s="1"/>
  <c r="O80" i="10"/>
  <c r="N82" i="10"/>
  <c r="T74" i="10"/>
  <c r="S76" i="10"/>
  <c r="S77" i="10" s="1" a="1"/>
  <c r="S77" i="10" s="1"/>
  <c r="R76" i="10"/>
  <c r="R77" i="10" s="1" a="1"/>
  <c r="R77" i="10" s="1"/>
  <c r="R78" i="10" l="1"/>
  <c r="R79" i="10" s="1" a="1"/>
  <c r="R79" i="10" s="1"/>
  <c r="T76" i="10"/>
  <c r="S78" i="10"/>
  <c r="S79" i="10" s="1" a="1"/>
  <c r="S79" i="10" s="1"/>
  <c r="Q78" i="10"/>
  <c r="Q79" i="10" s="1" a="1"/>
  <c r="Q79" i="10" s="1"/>
  <c r="P80" i="10"/>
  <c r="O82" i="10"/>
  <c r="R80" i="10" l="1"/>
  <c r="P82" i="10"/>
  <c r="Q80" i="10"/>
  <c r="T78" i="10"/>
  <c r="S80" i="10"/>
  <c r="T80" i="10" l="1"/>
  <c r="T84" i="10" l="1"/>
  <c r="X10" i="10"/>
  <c r="T8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Alles, Karel</author>
  </authors>
  <commentList>
    <comment ref="B1" authorId="0" shapeId="0" xr:uid="{37946EB6-14A4-41F7-81B1-AF0B200F718C}">
      <text>
        <r>
          <rPr>
            <b/>
            <sz val="9"/>
            <color indexed="81"/>
            <rFont val="Tahoma"/>
            <family val="2"/>
          </rPr>
          <t>Alles, Karel:</t>
        </r>
        <r>
          <rPr>
            <sz val="9"/>
            <color indexed="81"/>
            <rFont val="Tahoma"/>
            <family val="2"/>
          </rPr>
          <t xml:space="preserve">
Give in the tast you are working on, and the numbers / PSP in the according columns</t>
        </r>
      </text>
    </comment>
    <comment ref="C1" authorId="0" shapeId="0" xr:uid="{C78BDCDE-0F2D-4B22-96CD-2209EA7F3848}">
      <text>
        <r>
          <rPr>
            <b/>
            <sz val="9"/>
            <color indexed="81"/>
            <rFont val="Tahoma"/>
            <family val="2"/>
          </rPr>
          <t>Alles, Karel:</t>
        </r>
        <r>
          <rPr>
            <sz val="9"/>
            <color indexed="81"/>
            <rFont val="Tahoma"/>
            <family val="2"/>
          </rPr>
          <t xml:space="preserve">
Edit Technical Support /OM number here</t>
        </r>
      </text>
    </comment>
    <comment ref="D1" authorId="0" shapeId="0" xr:uid="{CABAC1A9-B70E-4354-B952-5849949EC302}">
      <text>
        <r>
          <rPr>
            <b/>
            <sz val="9"/>
            <color indexed="81"/>
            <rFont val="Tahoma"/>
            <family val="2"/>
          </rPr>
          <t>Alles, Karel:</t>
        </r>
        <r>
          <rPr>
            <sz val="9"/>
            <color indexed="81"/>
            <rFont val="Tahoma"/>
            <family val="2"/>
          </rPr>
          <t xml:space="preserve">
Edit PSP here</t>
        </r>
      </text>
    </comment>
    <comment ref="L1" authorId="0" shapeId="0" xr:uid="{C52DDBAC-7224-4489-B6D5-8FB9C7DE3629}">
      <text>
        <r>
          <rPr>
            <b/>
            <sz val="9"/>
            <color indexed="81"/>
            <rFont val="Tahoma"/>
            <family val="2"/>
          </rPr>
          <t>Alles, Karel:</t>
        </r>
        <r>
          <rPr>
            <sz val="9"/>
            <color indexed="81"/>
            <rFont val="Tahoma"/>
            <family val="2"/>
          </rPr>
          <t xml:space="preserve">
Give in the tast you are working on, and the numbers / PSP in the according columns</t>
        </r>
      </text>
    </comment>
    <comment ref="M1" authorId="0" shapeId="0" xr:uid="{314E77F1-5EC5-4E92-8F44-FC4F409AA8C5}">
      <text>
        <r>
          <rPr>
            <b/>
            <sz val="9"/>
            <color indexed="81"/>
            <rFont val="Tahoma"/>
            <family val="2"/>
          </rPr>
          <t>Alles, Karel:</t>
        </r>
        <r>
          <rPr>
            <sz val="9"/>
            <color indexed="81"/>
            <rFont val="Tahoma"/>
            <family val="2"/>
          </rPr>
          <t xml:space="preserve">
Edit Technical Support /OM number here</t>
        </r>
      </text>
    </comment>
    <comment ref="N1" authorId="0" shapeId="0" xr:uid="{66925C48-51E1-40CF-ADDA-4CBFCAEA016C}">
      <text>
        <r>
          <rPr>
            <b/>
            <sz val="9"/>
            <color indexed="81"/>
            <rFont val="Tahoma"/>
            <family val="2"/>
          </rPr>
          <t>Alles, Karel:</t>
        </r>
        <r>
          <rPr>
            <sz val="9"/>
            <color indexed="81"/>
            <rFont val="Tahoma"/>
            <family val="2"/>
          </rPr>
          <t xml:space="preserve">
Edit PSP here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<sst xmlns="http://schemas.openxmlformats.org/spreadsheetml/2006/main" count="1241" uniqueCount="280">
  <si>
    <t>Gesamt</t>
  </si>
  <si>
    <t>Stunden ohne Wochende</t>
  </si>
  <si>
    <t>Datum</t>
  </si>
  <si>
    <t>Beginn</t>
  </si>
  <si>
    <t>Ende</t>
  </si>
  <si>
    <t>Pause</t>
  </si>
  <si>
    <t>Zeit ohne Pause</t>
  </si>
  <si>
    <t>Zeit abzgl. Pause</t>
  </si>
  <si>
    <t>SendeStelle</t>
  </si>
  <si>
    <t>EmpfAuftrag</t>
  </si>
  <si>
    <t>Empfänger-PSP-Element</t>
  </si>
  <si>
    <t>EmpfKdAuft</t>
  </si>
  <si>
    <t>P-Projekte</t>
  </si>
  <si>
    <t>U-Projekte</t>
  </si>
  <si>
    <t>E-Projekte</t>
  </si>
  <si>
    <t>Item</t>
  </si>
  <si>
    <t>Task Eingabe</t>
  </si>
  <si>
    <t>TS/OM</t>
  </si>
  <si>
    <t>Status</t>
  </si>
  <si>
    <t>Vorherige Nummer (Backup):</t>
  </si>
  <si>
    <t xml:space="preserve"> </t>
  </si>
  <si>
    <t>Arbeitsplatz</t>
  </si>
  <si>
    <t>mobil</t>
  </si>
  <si>
    <t>Büro</t>
  </si>
  <si>
    <t>Kurzarbeit</t>
  </si>
  <si>
    <t>Feiertag</t>
  </si>
  <si>
    <t>Dienstreise</t>
  </si>
  <si>
    <t>Krank</t>
  </si>
  <si>
    <t>Überstunden abbauen</t>
  </si>
  <si>
    <t>Urlaub</t>
  </si>
  <si>
    <t>Task</t>
  </si>
  <si>
    <t>Personalnummer</t>
  </si>
  <si>
    <t>Tage</t>
  </si>
  <si>
    <t>Von</t>
  </si>
  <si>
    <t>Bis</t>
  </si>
  <si>
    <t>beantragt</t>
  </si>
  <si>
    <t>genehmigt</t>
  </si>
  <si>
    <t>Urlaub geplant</t>
  </si>
  <si>
    <t>Jahr</t>
  </si>
  <si>
    <t>Tage Urlaub geplant</t>
  </si>
  <si>
    <t>KW</t>
  </si>
  <si>
    <t>Tage Überstunden geplant</t>
  </si>
  <si>
    <t>Tage mobiles Arbeiten</t>
  </si>
  <si>
    <t>Tage im Büro</t>
  </si>
  <si>
    <t>Reguläres Ende</t>
  </si>
  <si>
    <t>Zeit abzgl. WE</t>
  </si>
  <si>
    <t>Grund</t>
  </si>
  <si>
    <t>Kommentar</t>
  </si>
  <si>
    <t>genehmigte Überstunden:</t>
  </si>
  <si>
    <t>Stunden regulär</t>
  </si>
  <si>
    <t>bevorzugter Arbeitsbeginn:</t>
  </si>
  <si>
    <t>Pause Mo-Do:</t>
  </si>
  <si>
    <t>Pause Fr-So:</t>
  </si>
  <si>
    <t>Zustehender Urlaub</t>
  </si>
  <si>
    <t>noch ungeplant</t>
  </si>
  <si>
    <t>Freistellung aus §25 MTV</t>
  </si>
  <si>
    <t>Zeit für SAP</t>
  </si>
  <si>
    <t>Woche gebucht:</t>
  </si>
  <si>
    <t>Stunden gebucht:</t>
  </si>
  <si>
    <t>Flex / V/N</t>
  </si>
  <si>
    <t>Mo</t>
  </si>
  <si>
    <t>Di</t>
  </si>
  <si>
    <t>Mi</t>
  </si>
  <si>
    <t>Do</t>
  </si>
  <si>
    <t>Fr</t>
  </si>
  <si>
    <t>Sa</t>
  </si>
  <si>
    <t>So</t>
  </si>
  <si>
    <t>Februar</t>
  </si>
  <si>
    <t>Januar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</si>
  <si>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</si>
  <si>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</si>
  <si>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</si>
  <si>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</si>
  <si>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</si>
  <si>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</si>
  <si>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</si>
  <si>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</si>
  <si>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</si>
  <si>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</si>
  <si>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Betriebsrat</t>
  </si>
  <si>
    <t>Urlaub genommen</t>
  </si>
  <si>
    <t>Flex / V/N geplant</t>
  </si>
  <si>
    <t>Schulung / Seminar</t>
  </si>
  <si>
    <t>Tage gepflegt</t>
  </si>
  <si>
    <t>Tage SAP gebucht</t>
  </si>
  <si>
    <t>Tage Kurzarbeit</t>
  </si>
  <si>
    <t>Tage Krank</t>
  </si>
  <si>
    <t>Tage Dienstreise</t>
  </si>
  <si>
    <t>Tage Urlaub</t>
  </si>
  <si>
    <t>Tage Überstunden</t>
  </si>
  <si>
    <t>Summe</t>
  </si>
  <si>
    <t>Stunden zur Verfügung</t>
  </si>
  <si>
    <t>Stunden Verbucht</t>
  </si>
  <si>
    <t>Stunden übrig</t>
  </si>
  <si>
    <t>Slurry Condition Monitoring</t>
  </si>
  <si>
    <t>allgemein</t>
  </si>
  <si>
    <t>Pemex_Sumimsa</t>
  </si>
  <si>
    <t>KKrs</t>
  </si>
  <si>
    <t>LstArt</t>
  </si>
  <si>
    <t>Netzplan</t>
  </si>
  <si>
    <t>Vorgang</t>
  </si>
  <si>
    <t>ArbPlatz</t>
  </si>
  <si>
    <t>AbAnArt</t>
  </si>
  <si>
    <t>1010V07213</t>
  </si>
  <si>
    <t>A238</t>
  </si>
  <si>
    <t>Windchill_SAP_Schulung</t>
  </si>
  <si>
    <t>110163-BJ361-002</t>
  </si>
  <si>
    <t>110109-PF101-060</t>
  </si>
  <si>
    <t>110103-ZZ901</t>
  </si>
  <si>
    <t>119500-IN554</t>
  </si>
  <si>
    <t>119500-IN603</t>
  </si>
  <si>
    <t xml:space="preserve">Asien DLSSupport </t>
  </si>
  <si>
    <t>Europa DLSSupport</t>
  </si>
  <si>
    <t>Anteil BR Arbeit</t>
  </si>
  <si>
    <t>Stunden gesamt</t>
  </si>
  <si>
    <t>SnorreB SoftPump function for mudpumps</t>
  </si>
  <si>
    <t>Huafei Separate Cabinet</t>
  </si>
  <si>
    <t xml:space="preserve">Urlaub </t>
  </si>
  <si>
    <t>Dauer</t>
  </si>
  <si>
    <t>Tage geplant</t>
  </si>
  <si>
    <t>Tage genommen</t>
  </si>
  <si>
    <t>470000637</t>
  </si>
  <si>
    <t>Heidrun RTCS</t>
  </si>
  <si>
    <t>HPCS</t>
  </si>
  <si>
    <t>110157-BZ631-010</t>
  </si>
  <si>
    <t xml:space="preserve">Huafei </t>
  </si>
  <si>
    <t>110082-PF061-940</t>
  </si>
  <si>
    <t>Stunden Mo-Do</t>
  </si>
  <si>
    <t>Stunden Fr</t>
  </si>
  <si>
    <t>110118-PF061-860</t>
  </si>
  <si>
    <t>Huashan</t>
  </si>
  <si>
    <t>Stunden Betriebsrat</t>
  </si>
  <si>
    <t>Tronox Remote Comissioning</t>
  </si>
  <si>
    <t>Snorre B RT_DCMS Upgrade</t>
  </si>
  <si>
    <t>Huayue</t>
  </si>
  <si>
    <t>110060-PF061-940</t>
  </si>
  <si>
    <t>Catarina DCMS RT</t>
  </si>
  <si>
    <t>470000696</t>
  </si>
  <si>
    <t>geplant</t>
  </si>
  <si>
    <t>mehr</t>
  </si>
  <si>
    <t>minder</t>
  </si>
  <si>
    <t>krank</t>
  </si>
  <si>
    <t>470003626 </t>
  </si>
  <si>
    <t xml:space="preserve">300050206 "5th Mud Pump control migration" </t>
  </si>
  <si>
    <t xml:space="preserve">                                    ENG RTS Training                                                111111-UNAPP-TR</t>
  </si>
  <si>
    <t xml:space="preserve">                                    ENG RTS Staff/All hands, Meetings etc.               111111-UNAPP-SM</t>
  </si>
  <si>
    <t xml:space="preserve">                                    ENG RTS Computer / Tools Downtime                 111111-UNAPP-CD</t>
  </si>
  <si>
    <t xml:space="preserve">                                    ENG RTS Team Management                              111111-UNAPP-TM</t>
  </si>
  <si>
    <t xml:space="preserve">                                    ENG RTS Performance development                   111111-UNAPP-PD</t>
  </si>
  <si>
    <t xml:space="preserve">                                    ENG RTS Design board                                        111111-UNAPP-DB</t>
  </si>
  <si>
    <t xml:space="preserve">                                    ENG RTS Engineering Week (Other unapplied)   111111-UNAPP-OU</t>
  </si>
  <si>
    <t>111111-UNAPP</t>
  </si>
  <si>
    <t>111111-UNAPP-CD</t>
  </si>
  <si>
    <t>111111-UNAPP-PD</t>
  </si>
  <si>
    <t>ENG RTS-Account                                                                                    111111</t>
  </si>
  <si>
    <t xml:space="preserve">            ENG RTS-Account                                                                        111111</t>
  </si>
  <si>
    <t xml:space="preserve">                        Unapplied                                                                         111111-UNAPP</t>
  </si>
  <si>
    <t xml:space="preserve">                        Applied                                                                              111111-APPLD</t>
  </si>
  <si>
    <t xml:space="preserve">                                    ENG RTS Commercial bids                                  111111- APPLD-CB</t>
  </si>
  <si>
    <t xml:space="preserve">                                    ENG RTS Fleet Issue                                           111111- APPLD-FI</t>
  </si>
  <si>
    <t xml:space="preserve">                                    ENG RTS Supply chain support                           111111- APPLD-SC</t>
  </si>
  <si>
    <t xml:space="preserve">                                    ENG RTS Design practices                                  111111- APPLD-DP</t>
  </si>
  <si>
    <t xml:space="preserve">                                    ENG RTS Digitization                                           111111- APPLD-DZ</t>
  </si>
  <si>
    <t xml:space="preserve">                                    ENG RTS ERP support                                        111111-APPLD-ER</t>
  </si>
  <si>
    <t xml:space="preserve">                                    ENG RTS PLM                                                     111111- APPLD-PL</t>
  </si>
  <si>
    <t xml:space="preserve">                                    ENG RTS Lean                                                     111111- APPLD-LE</t>
  </si>
  <si>
    <t xml:space="preserve">                                    ENG RTS Quality Management system                111111- APPLD-QM</t>
  </si>
  <si>
    <t xml:space="preserve">                                    ENG RTS Technical regulations &amp; standards        111111- APPLD-RS</t>
  </si>
  <si>
    <t>470003641</t>
  </si>
  <si>
    <t>Heidrun MP/RT Support</t>
  </si>
  <si>
    <t>SAP gebucht</t>
  </si>
  <si>
    <t xml:space="preserve">Spitsbergen RT - 300063403 "DCMS upgrade (RTCS)" </t>
  </si>
  <si>
    <t>Name, Vorname</t>
  </si>
  <si>
    <t>Arbeitszeit</t>
  </si>
  <si>
    <t>35 Std.</t>
  </si>
  <si>
    <t>40 Std.</t>
  </si>
  <si>
    <t xml:space="preserve">Teilzeit </t>
  </si>
  <si>
    <t>Std:…..............</t>
  </si>
  <si>
    <t>Zweischicht</t>
  </si>
  <si>
    <t>Dreischicht</t>
  </si>
  <si>
    <t>Monat</t>
  </si>
  <si>
    <t>Kommen</t>
  </si>
  <si>
    <t>Gehen</t>
  </si>
  <si>
    <t>Pause 1 Ende</t>
  </si>
  <si>
    <t>Bemerkung</t>
  </si>
  <si>
    <t>Pause Dauer</t>
  </si>
  <si>
    <t>Pause 1 Anfang</t>
  </si>
  <si>
    <t>für HR</t>
  </si>
  <si>
    <t xml:space="preserve">Bemerkung </t>
  </si>
  <si>
    <t>Abws.</t>
  </si>
  <si>
    <t>111111-UNAPP-EW</t>
  </si>
  <si>
    <t>Workday gebucht</t>
  </si>
  <si>
    <t>Somincor Einsatz</t>
  </si>
  <si>
    <t>470003215</t>
  </si>
  <si>
    <t>Engineering Week ENG RTS  (Other unapplied)</t>
  </si>
  <si>
    <t>Unapplied   </t>
  </si>
  <si>
    <t xml:space="preserve">Computer / Tools Downtime ENG RTS </t>
  </si>
  <si>
    <t xml:space="preserve">Performance development  ENG RTS </t>
  </si>
  <si>
    <t xml:space="preserve">Stundenschnitt bei möglichen </t>
  </si>
  <si>
    <t>%</t>
  </si>
  <si>
    <t>h</t>
  </si>
  <si>
    <t>Stundenschnitt pro Woche</t>
  </si>
  <si>
    <t>Alarm Rework SnorreB RT</t>
  </si>
  <si>
    <t>Alarm Rework SnorreB MP</t>
  </si>
  <si>
    <t>470004961</t>
  </si>
  <si>
    <t>Alarm Rework Heidrun DW</t>
  </si>
  <si>
    <t>470004960</t>
  </si>
  <si>
    <t>McDermott</t>
  </si>
  <si>
    <t>Longtext</t>
  </si>
  <si>
    <t>Hercules Pumpe</t>
  </si>
  <si>
    <t>SSV Victoria RT - DCMS update</t>
  </si>
  <si>
    <t>470004647</t>
  </si>
  <si>
    <t>111111-UNAPP-SM</t>
  </si>
  <si>
    <t>ENG RTS Commercial bids</t>
  </si>
  <si>
    <t>Staff/All hands, Meetings etc. ENG RTS</t>
  </si>
  <si>
    <t>Seminar / Schulung</t>
  </si>
  <si>
    <t>111111-APPLD-CB</t>
  </si>
  <si>
    <t>470005455</t>
  </si>
  <si>
    <t>ODN1 RT - DCMS Upgrade</t>
  </si>
  <si>
    <t>Visund MP - Deal</t>
  </si>
  <si>
    <t>470002350</t>
  </si>
  <si>
    <t>110990-110164</t>
  </si>
  <si>
    <t>(McD)After Delivery &amp; Warranty project</t>
  </si>
  <si>
    <t>IAT Tsingshan</t>
  </si>
  <si>
    <t>110176-PF061-860</t>
  </si>
  <si>
    <t>Snorre A - Review</t>
  </si>
  <si>
    <t>aktuelles Datum</t>
  </si>
  <si>
    <t>mobiles Arbeiten</t>
  </si>
  <si>
    <t>Ferien</t>
  </si>
  <si>
    <t>Neujahr</t>
  </si>
  <si>
    <t>Karfreitag</t>
  </si>
  <si>
    <t>Ostern</t>
  </si>
  <si>
    <t>Tag d. Arbeit</t>
  </si>
  <si>
    <t>Himmelfahrt</t>
  </si>
  <si>
    <t>Pfingsten</t>
  </si>
  <si>
    <t>Fronleichnam</t>
  </si>
  <si>
    <t>Einheit</t>
  </si>
  <si>
    <t>Allerheiligen</t>
  </si>
  <si>
    <t>Weihnachten</t>
  </si>
  <si>
    <t>Name</t>
  </si>
  <si>
    <t>Ostermontag</t>
  </si>
  <si>
    <t>Tag der Arbeit</t>
  </si>
  <si>
    <t>Christ Himmelfahrt</t>
  </si>
  <si>
    <t>Pfingstmontag</t>
  </si>
  <si>
    <t>Tag der Deutschen Einheit</t>
  </si>
  <si>
    <t>1. Weihnachtstag</t>
  </si>
  <si>
    <t>2. Weihnachtstag</t>
  </si>
  <si>
    <t>mögliche Arbeitstage</t>
  </si>
  <si>
    <t>bisher mögliche Arbeitstage</t>
  </si>
  <si>
    <t>Tage Urlaub genommen</t>
  </si>
  <si>
    <t>Sommerferien</t>
  </si>
  <si>
    <t>Hunter Queen RT - DCMS Update</t>
  </si>
  <si>
    <t>470006342</t>
  </si>
  <si>
    <t>Codelco-Andina</t>
  </si>
  <si>
    <t>110205-PF051-820</t>
  </si>
  <si>
    <t>Urlaub / Flex / VN</t>
  </si>
  <si>
    <t>Rufbereitschaft</t>
  </si>
  <si>
    <t xml:space="preserve"> 111111-UNAPP-TR</t>
  </si>
  <si>
    <t>ENG RTS Training</t>
  </si>
  <si>
    <t>Burke, André</t>
  </si>
  <si>
    <t>??</t>
  </si>
  <si>
    <t>Arbeitsurlaub</t>
  </si>
  <si>
    <t>Wochentag</t>
  </si>
  <si>
    <t>Anfang</t>
  </si>
  <si>
    <t>End</t>
  </si>
  <si>
    <t>reine Arbeitszeit</t>
  </si>
  <si>
    <t>reguläres Ende</t>
  </si>
  <si>
    <t>Comment</t>
  </si>
  <si>
    <t>Arbeitstag</t>
  </si>
  <si>
    <t>Non-Working Days</t>
  </si>
  <si>
    <t>Kindkrank</t>
  </si>
  <si>
    <t>Dauer der
Anwesenheit</t>
  </si>
  <si>
    <t>Wochentag Nummer</t>
  </si>
  <si>
    <t>V/N</t>
  </si>
  <si>
    <t>V/N Woche</t>
  </si>
  <si>
    <t>Auf-/Abbau</t>
  </si>
  <si>
    <t>Ready to Calc</t>
  </si>
  <si>
    <t>Mobil</t>
  </si>
  <si>
    <t>korrigiert per Workday</t>
  </si>
  <si>
    <t>using better pause calculation from now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</si>
</sst>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[h]:mm:ss;@"/>
    <numFmt numFmtId="165" formatCode="[$-F400]h:mm:ss\ AM/PM"/>
    <numFmt numFmtId="166" formatCode="h:mm;@"/>
    <numFmt numFmtId="167" formatCode="[$]hh:mm;@" x16r2:formatCode16="[$-en-DE,1]hh:mm;@"/>
    <numFmt numFmtId="168" formatCode="[$]dd/mm/yyyy;@" x16r2:formatCode16="[$-en-DE,1]dd/mm/yyyy;@"/>
  </numFmts>
  <fonts count="3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rgb="FF000000"/>
      <name val="Segoe UI"/>
      <family val="2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Arial"/>
      <family val="2"/>
    </font>
    <font>
      <sz val="12"/>
      <color rgb="FF000000"/>
      <name val="Aptos"/>
      <family val="2"/>
    </font>
    <font>
      <b/>
      <sz val="11"/>
      <color theme="1" tint="0.249977111117893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889DB"/>
        <bgColor indexed="64"/>
      </patternFill>
    </fill>
  </fills>
  <borders count="5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57">
    <xf numFmtId="0" fontId="0" fillId="0" borderId="0"/>
    <xf numFmtId="0" fontId="2" fillId="4" borderId="1" applyNumberFormat="0" applyAlignment="0" applyProtection="0"/>
    <xf numFmtId="14" fontId="12" fillId="6" borderId="22" applyBorder="0">
      <alignment horizontal="center" vertical="center"/>
      <protection locked="0"/>
    </xf>
    <xf numFmtId="14" fontId="12" fillId="44" borderId="22" applyBorder="0" applyProtection="0">
      <alignment horizontal="center"/>
    </xf>
    <xf numFmtId="14" fontId="12" fillId="9" borderId="22" applyBorder="0" applyAlignment="0" applyProtection="0">
      <alignment horizontal="center"/>
    </xf>
    <xf numFmtId="0" fontId="1" fillId="2" borderId="0" applyNumberFormat="0" applyBorder="0" applyAlignment="0" applyProtection="0"/>
    <xf numFmtId="0" fontId="13" fillId="10" borderId="0" applyNumberFormat="0" applyBorder="0" applyAlignment="0" applyProtection="0"/>
    <xf numFmtId="0" fontId="14" fillId="3" borderId="0" applyNumberFormat="0" applyBorder="0" applyAlignment="0" applyProtection="0"/>
    <xf numFmtId="14" fontId="12" fillId="0" borderId="22" applyBorder="0" applyAlignment="0" applyProtection="0">
      <alignment horizontal="center"/>
    </xf>
    <xf numFmtId="14" fontId="12" fillId="12" borderId="22" applyBorder="0">
      <alignment horizontal="center" vertical="center"/>
      <protection locked="0"/>
    </xf>
    <xf numFmtId="14" fontId="12" fillId="13" borderId="25" applyBorder="0">
      <alignment horizontal="center" vertical="center"/>
      <protection locked="0"/>
    </xf>
    <xf numFmtId="43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2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36" applyNumberFormat="0" applyFill="0" applyAlignment="0" applyProtection="0"/>
    <xf numFmtId="0" fontId="19" fillId="0" borderId="37" applyNumberFormat="0" applyFill="0" applyAlignment="0" applyProtection="0"/>
    <xf numFmtId="0" fontId="20" fillId="0" borderId="38" applyNumberFormat="0" applyFill="0" applyAlignment="0" applyProtection="0"/>
    <xf numFmtId="0" fontId="20" fillId="0" borderId="0" applyNumberFormat="0" applyFill="0" applyBorder="0" applyAlignment="0" applyProtection="0"/>
    <xf numFmtId="0" fontId="21" fillId="14" borderId="39" applyNumberFormat="0" applyAlignment="0" applyProtection="0"/>
    <xf numFmtId="0" fontId="22" fillId="14" borderId="1" applyNumberFormat="0" applyAlignment="0" applyProtection="0"/>
    <xf numFmtId="0" fontId="23" fillId="0" borderId="40" applyNumberFormat="0" applyFill="0" applyAlignment="0" applyProtection="0"/>
    <xf numFmtId="0" fontId="24" fillId="15" borderId="41" applyNumberFormat="0" applyAlignment="0" applyProtection="0"/>
    <xf numFmtId="0" fontId="25" fillId="0" borderId="0" applyNumberFormat="0" applyFill="0" applyBorder="0" applyAlignment="0" applyProtection="0"/>
    <xf numFmtId="0" fontId="12" fillId="16" borderId="42" applyNumberFormat="0" applyFont="0" applyAlignment="0" applyProtection="0"/>
    <xf numFmtId="0" fontId="26" fillId="0" borderId="0" applyNumberFormat="0" applyFill="0" applyBorder="0" applyAlignment="0" applyProtection="0"/>
    <xf numFmtId="0" fontId="3" fillId="0" borderId="43" applyNumberFormat="0" applyFill="0" applyAlignment="0" applyProtection="0"/>
    <xf numFmtId="0" fontId="27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27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27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27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27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6" borderId="0" applyNumberFormat="0" applyBorder="0" applyAlignment="0" applyProtection="0"/>
    <xf numFmtId="0" fontId="27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11" borderId="0"/>
  </cellStyleXfs>
  <cellXfs count="229">
    <xf numFmtId="0" fontId="0" fillId="0" borderId="0" xfId="0"/>
    <xf numFmtId="0" fontId="0" fillId="5" borderId="2" xfId="0" applyFill="1" applyBorder="1"/>
    <xf numFmtId="164" fontId="3" fillId="5" borderId="2" xfId="0" applyNumberFormat="1" applyFont="1" applyFill="1" applyBorder="1"/>
    <xf numFmtId="14" fontId="0" fillId="0" borderId="2" xfId="0" applyNumberFormat="1" applyBorder="1"/>
    <xf numFmtId="20" fontId="0" fillId="0" borderId="2" xfId="0" applyNumberFormat="1" applyBorder="1" applyAlignment="1">
      <alignment horizontal="center"/>
    </xf>
    <xf numFmtId="20" fontId="4" fillId="5" borderId="2" xfId="0" applyNumberFormat="1" applyFont="1" applyFill="1" applyBorder="1"/>
    <xf numFmtId="20" fontId="5" fillId="5" borderId="2" xfId="0" applyNumberFormat="1" applyFont="1" applyFill="1" applyBorder="1" applyAlignment="1">
      <alignment horizontal="center"/>
    </xf>
    <xf numFmtId="20" fontId="0" fillId="0" borderId="0" xfId="0" applyNumberFormat="1"/>
    <xf numFmtId="0" fontId="0" fillId="0" borderId="2" xfId="0" applyBorder="1"/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0" fillId="0" borderId="0" xfId="0" applyNumberFormat="1"/>
    <xf numFmtId="0" fontId="0" fillId="0" borderId="4" xfId="0" applyBorder="1"/>
    <xf numFmtId="49" fontId="0" fillId="0" borderId="4" xfId="0" applyNumberFormat="1" applyBorder="1"/>
    <xf numFmtId="0" fontId="6" fillId="0" borderId="0" xfId="0" applyFont="1"/>
    <xf numFmtId="0" fontId="9" fillId="0" borderId="11" xfId="0" applyFont="1" applyBorder="1" applyAlignment="1">
      <alignment vertical="center" wrapText="1"/>
    </xf>
    <xf numFmtId="0" fontId="9" fillId="0" borderId="10" xfId="0" applyFont="1" applyBorder="1" applyAlignment="1">
      <alignment vertical="center" wrapText="1"/>
    </xf>
    <xf numFmtId="0" fontId="9" fillId="0" borderId="12" xfId="0" applyFont="1" applyBorder="1" applyAlignment="1">
      <alignment vertical="center" wrapText="1"/>
    </xf>
    <xf numFmtId="20" fontId="4" fillId="0" borderId="0" xfId="0" applyNumberFormat="1" applyFont="1"/>
    <xf numFmtId="20" fontId="5" fillId="0" borderId="0" xfId="0" applyNumberFormat="1" applyFont="1"/>
    <xf numFmtId="0" fontId="4" fillId="0" borderId="0" xfId="0" applyFont="1"/>
    <xf numFmtId="0" fontId="0" fillId="5" borderId="2" xfId="0" applyFill="1" applyBorder="1" applyAlignment="1">
      <alignment horizontal="right"/>
    </xf>
    <xf numFmtId="20" fontId="4" fillId="5" borderId="2" xfId="0" applyNumberFormat="1" applyFont="1" applyFill="1" applyBorder="1" applyAlignment="1">
      <alignment horizontal="center"/>
    </xf>
    <xf numFmtId="20" fontId="10" fillId="5" borderId="2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3" xfId="0" applyBorder="1" applyAlignment="1">
      <alignment horizontal="left"/>
    </xf>
    <xf numFmtId="0" fontId="9" fillId="0" borderId="11" xfId="0" applyFont="1" applyBorder="1" applyAlignment="1">
      <alignment horizontal="center" vertical="center" wrapText="1"/>
    </xf>
    <xf numFmtId="0" fontId="9" fillId="0" borderId="13" xfId="0" applyFont="1" applyBorder="1" applyAlignment="1">
      <alignment vertical="center" wrapText="1"/>
    </xf>
    <xf numFmtId="0" fontId="9" fillId="0" borderId="14" xfId="0" applyFont="1" applyBorder="1" applyAlignment="1">
      <alignment vertical="center" wrapText="1"/>
    </xf>
    <xf numFmtId="0" fontId="0" fillId="0" borderId="7" xfId="0" applyBorder="1"/>
    <xf numFmtId="0" fontId="0" fillId="0" borderId="3" xfId="0" applyBorder="1"/>
    <xf numFmtId="164" fontId="0" fillId="0" borderId="3" xfId="0" applyNumberFormat="1" applyBorder="1"/>
    <xf numFmtId="20" fontId="0" fillId="0" borderId="3" xfId="0" applyNumberFormat="1" applyBorder="1"/>
    <xf numFmtId="0" fontId="0" fillId="0" borderId="15" xfId="0" applyBorder="1"/>
    <xf numFmtId="0" fontId="0" fillId="0" borderId="6" xfId="0" applyBorder="1"/>
    <xf numFmtId="14" fontId="0" fillId="0" borderId="0" xfId="0" applyNumberFormat="1"/>
    <xf numFmtId="0" fontId="0" fillId="0" borderId="6" xfId="0" applyBorder="1" applyAlignment="1">
      <alignment horizontal="center"/>
    </xf>
    <xf numFmtId="0" fontId="9" fillId="0" borderId="2" xfId="0" applyFont="1" applyBorder="1" applyAlignment="1">
      <alignment vertical="center" wrapText="1"/>
    </xf>
    <xf numFmtId="2" fontId="0" fillId="5" borderId="2" xfId="0" applyNumberFormat="1" applyFill="1" applyBorder="1" applyAlignment="1">
      <alignment horizontal="left"/>
    </xf>
    <xf numFmtId="0" fontId="0" fillId="0" borderId="7" xfId="0" applyBorder="1" applyAlignment="1">
      <alignment horizontal="right"/>
    </xf>
    <xf numFmtId="2" fontId="0" fillId="0" borderId="2" xfId="0" applyNumberFormat="1" applyBorder="1" applyAlignment="1">
      <alignment horizontal="left"/>
    </xf>
    <xf numFmtId="0" fontId="0" fillId="5" borderId="2" xfId="0" applyFill="1" applyBorder="1" applyAlignment="1">
      <alignment horizontal="left"/>
    </xf>
    <xf numFmtId="0" fontId="0" fillId="0" borderId="16" xfId="0" applyBorder="1"/>
    <xf numFmtId="0" fontId="0" fillId="8" borderId="4" xfId="0" applyFill="1" applyBorder="1"/>
    <xf numFmtId="49" fontId="0" fillId="8" borderId="4" xfId="0" applyNumberFormat="1" applyFill="1" applyBorder="1"/>
    <xf numFmtId="14" fontId="0" fillId="0" borderId="11" xfId="0" applyNumberFormat="1" applyBorder="1"/>
    <xf numFmtId="0" fontId="0" fillId="0" borderId="17" xfId="0" applyBorder="1"/>
    <xf numFmtId="0" fontId="0" fillId="8" borderId="17" xfId="0" applyFill="1" applyBorder="1"/>
    <xf numFmtId="0" fontId="11" fillId="0" borderId="4" xfId="0" applyFont="1" applyBorder="1"/>
    <xf numFmtId="0" fontId="0" fillId="0" borderId="5" xfId="0" applyBorder="1"/>
    <xf numFmtId="0" fontId="0" fillId="0" borderId="2" xfId="0" applyBorder="1" applyAlignment="1">
      <alignment horizontal="left"/>
    </xf>
    <xf numFmtId="0" fontId="0" fillId="5" borderId="2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8" xfId="0" applyBorder="1"/>
    <xf numFmtId="0" fontId="0" fillId="0" borderId="29" xfId="0" applyBorder="1"/>
    <xf numFmtId="0" fontId="0" fillId="5" borderId="18" xfId="0" applyFill="1" applyBorder="1"/>
    <xf numFmtId="0" fontId="0" fillId="5" borderId="30" xfId="0" applyFill="1" applyBorder="1"/>
    <xf numFmtId="0" fontId="0" fillId="5" borderId="5" xfId="0" applyFill="1" applyBorder="1"/>
    <xf numFmtId="0" fontId="0" fillId="5" borderId="31" xfId="0" applyFill="1" applyBorder="1"/>
    <xf numFmtId="0" fontId="0" fillId="5" borderId="32" xfId="0" applyFill="1" applyBorder="1"/>
    <xf numFmtId="0" fontId="0" fillId="5" borderId="33" xfId="0" applyFill="1" applyBorder="1"/>
    <xf numFmtId="14" fontId="12" fillId="0" borderId="22" xfId="8" applyBorder="1" applyAlignment="1">
      <alignment horizontal="center"/>
    </xf>
    <xf numFmtId="0" fontId="0" fillId="0" borderId="3" xfId="0" applyBorder="1" applyAlignment="1">
      <alignment horizontal="center"/>
    </xf>
    <xf numFmtId="14" fontId="12" fillId="0" borderId="22" xfId="8" applyBorder="1" applyAlignment="1" applyProtection="1">
      <alignment horizontal="center" vertical="center"/>
      <protection locked="0"/>
    </xf>
    <xf numFmtId="14" fontId="12" fillId="0" borderId="22" xfId="8" applyBorder="1" applyAlignment="1"/>
    <xf numFmtId="164" fontId="0" fillId="5" borderId="2" xfId="0" applyNumberFormat="1" applyFill="1" applyBorder="1" applyAlignment="1">
      <alignment horizontal="right"/>
    </xf>
    <xf numFmtId="164" fontId="0" fillId="5" borderId="2" xfId="0" applyNumberFormat="1" applyFill="1" applyBorder="1" applyAlignment="1">
      <alignment horizontal="left"/>
    </xf>
    <xf numFmtId="165" fontId="0" fillId="5" borderId="2" xfId="0" applyNumberFormat="1" applyFill="1" applyBorder="1" applyAlignment="1">
      <alignment horizontal="left"/>
    </xf>
    <xf numFmtId="0" fontId="0" fillId="0" borderId="34" xfId="0" applyBorder="1"/>
    <xf numFmtId="2" fontId="0" fillId="0" borderId="6" xfId="0" applyNumberFormat="1" applyBorder="1" applyAlignment="1">
      <alignment horizontal="center"/>
    </xf>
    <xf numFmtId="2" fontId="0" fillId="0" borderId="25" xfId="0" applyNumberFormat="1" applyBorder="1" applyAlignment="1">
      <alignment horizontal="left"/>
    </xf>
    <xf numFmtId="2" fontId="0" fillId="0" borderId="29" xfId="0" applyNumberFormat="1" applyBorder="1" applyAlignment="1">
      <alignment horizontal="left"/>
    </xf>
    <xf numFmtId="0" fontId="0" fillId="0" borderId="18" xfId="0" applyBorder="1"/>
    <xf numFmtId="0" fontId="0" fillId="0" borderId="30" xfId="0" applyBorder="1"/>
    <xf numFmtId="0" fontId="0" fillId="0" borderId="31" xfId="0" applyBorder="1"/>
    <xf numFmtId="0" fontId="9" fillId="0" borderId="35" xfId="0" applyFont="1" applyBorder="1" applyAlignment="1">
      <alignment vertical="center" wrapText="1"/>
    </xf>
    <xf numFmtId="14" fontId="0" fillId="0" borderId="35" xfId="0" applyNumberFormat="1" applyBorder="1"/>
    <xf numFmtId="0" fontId="0" fillId="0" borderId="32" xfId="0" applyBorder="1"/>
    <xf numFmtId="0" fontId="0" fillId="0" borderId="33" xfId="0" applyBorder="1"/>
    <xf numFmtId="0" fontId="0" fillId="0" borderId="31" xfId="0" applyBorder="1" applyAlignment="1">
      <alignment horizontal="center"/>
    </xf>
    <xf numFmtId="14" fontId="0" fillId="0" borderId="35" xfId="0" applyNumberFormat="1" applyBorder="1" applyAlignment="1">
      <alignment vertical="center"/>
    </xf>
    <xf numFmtId="14" fontId="0" fillId="0" borderId="11" xfId="0" applyNumberFormat="1" applyBorder="1" applyAlignment="1">
      <alignment vertical="center"/>
    </xf>
    <xf numFmtId="0" fontId="0" fillId="0" borderId="6" xfId="0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0" xfId="0" applyAlignment="1">
      <alignment horizontal="left"/>
    </xf>
    <xf numFmtId="14" fontId="9" fillId="0" borderId="35" xfId="0" applyNumberFormat="1" applyFont="1" applyBorder="1" applyAlignment="1">
      <alignment vertical="center" wrapText="1"/>
    </xf>
    <xf numFmtId="14" fontId="9" fillId="0" borderId="10" xfId="0" applyNumberFormat="1" applyFont="1" applyBorder="1" applyAlignment="1">
      <alignment vertical="center" wrapText="1"/>
    </xf>
    <xf numFmtId="0" fontId="9" fillId="0" borderId="13" xfId="0" applyFont="1" applyBorder="1" applyAlignment="1">
      <alignment horizontal="center" vertical="center" wrapText="1"/>
    </xf>
    <xf numFmtId="2" fontId="0" fillId="5" borderId="2" xfId="0" applyNumberFormat="1" applyFill="1" applyBorder="1"/>
    <xf numFmtId="0" fontId="0" fillId="5" borderId="0" xfId="0" applyFill="1"/>
    <xf numFmtId="0" fontId="0" fillId="5" borderId="2" xfId="0" quotePrefix="1" applyFill="1" applyBorder="1" applyAlignment="1">
      <alignment horizontal="center"/>
    </xf>
    <xf numFmtId="2" fontId="0" fillId="5" borderId="2" xfId="0" applyNumberFormat="1" applyFill="1" applyBorder="1" applyAlignment="1">
      <alignment horizontal="center"/>
    </xf>
    <xf numFmtId="14" fontId="12" fillId="0" borderId="0" xfId="8" applyBorder="1" applyAlignment="1"/>
    <xf numFmtId="0" fontId="25" fillId="0" borderId="0" xfId="0" applyFont="1"/>
    <xf numFmtId="0" fontId="30" fillId="41" borderId="0" xfId="0" applyFont="1" applyFill="1"/>
    <xf numFmtId="0" fontId="6" fillId="41" borderId="0" xfId="0" applyFont="1" applyFill="1"/>
    <xf numFmtId="0" fontId="6" fillId="41" borderId="34" xfId="0" applyFont="1" applyFill="1" applyBorder="1" applyAlignment="1">
      <alignment horizontal="left"/>
    </xf>
    <xf numFmtId="0" fontId="6" fillId="41" borderId="0" xfId="0" applyFont="1" applyFill="1" applyAlignment="1">
      <alignment horizontal="left"/>
    </xf>
    <xf numFmtId="0" fontId="6" fillId="41" borderId="0" xfId="0" applyFont="1" applyFill="1" applyAlignment="1">
      <alignment vertical="top" wrapText="1"/>
    </xf>
    <xf numFmtId="0" fontId="6" fillId="5" borderId="44" xfId="0" applyFont="1" applyFill="1" applyBorder="1" applyAlignment="1">
      <alignment vertical="top" wrapText="1"/>
    </xf>
    <xf numFmtId="166" fontId="6" fillId="41" borderId="44" xfId="0" applyNumberFormat="1" applyFont="1" applyFill="1" applyBorder="1" applyAlignment="1">
      <alignment horizontal="center" vertical="center"/>
    </xf>
    <xf numFmtId="166" fontId="6" fillId="41" borderId="0" xfId="0" applyNumberFormat="1" applyFont="1" applyFill="1" applyAlignment="1">
      <alignment vertical="top"/>
    </xf>
    <xf numFmtId="0" fontId="6" fillId="41" borderId="0" xfId="0" applyFont="1" applyFill="1" applyAlignment="1">
      <alignment vertical="top"/>
    </xf>
    <xf numFmtId="14" fontId="6" fillId="41" borderId="44" xfId="0" applyNumberFormat="1" applyFont="1" applyFill="1" applyBorder="1" applyAlignment="1">
      <alignment vertical="top"/>
    </xf>
    <xf numFmtId="14" fontId="6" fillId="41" borderId="0" xfId="0" applyNumberFormat="1" applyFont="1" applyFill="1"/>
    <xf numFmtId="0" fontId="6" fillId="41" borderId="34" xfId="0" applyFont="1" applyFill="1" applyBorder="1"/>
    <xf numFmtId="2" fontId="0" fillId="0" borderId="2" xfId="0" applyNumberFormat="1" applyBorder="1" applyAlignment="1">
      <alignment horizontal="center"/>
    </xf>
    <xf numFmtId="0" fontId="0" fillId="5" borderId="18" xfId="0" applyFill="1" applyBorder="1" applyAlignment="1">
      <alignment horizontal="left"/>
    </xf>
    <xf numFmtId="0" fontId="0" fillId="5" borderId="32" xfId="0" applyFill="1" applyBorder="1" applyAlignment="1">
      <alignment horizontal="left"/>
    </xf>
    <xf numFmtId="0" fontId="0" fillId="5" borderId="19" xfId="0" applyFill="1" applyBorder="1"/>
    <xf numFmtId="0" fontId="0" fillId="5" borderId="20" xfId="0" applyFill="1" applyBorder="1"/>
    <xf numFmtId="14" fontId="0" fillId="5" borderId="2" xfId="0" applyNumberFormat="1" applyFill="1" applyBorder="1"/>
    <xf numFmtId="0" fontId="6" fillId="41" borderId="0" xfId="0" applyFont="1" applyFill="1" applyAlignment="1">
      <alignment vertical="center" wrapText="1"/>
    </xf>
    <xf numFmtId="0" fontId="6" fillId="5" borderId="44" xfId="0" applyFont="1" applyFill="1" applyBorder="1" applyAlignment="1">
      <alignment vertical="center" wrapText="1"/>
    </xf>
    <xf numFmtId="14" fontId="6" fillId="41" borderId="44" xfId="0" applyNumberFormat="1" applyFont="1" applyFill="1" applyBorder="1" applyAlignment="1">
      <alignment vertical="center"/>
    </xf>
    <xf numFmtId="0" fontId="0" fillId="0" borderId="45" xfId="0" applyBorder="1"/>
    <xf numFmtId="164" fontId="6" fillId="41" borderId="0" xfId="0" applyNumberFormat="1" applyFont="1" applyFill="1"/>
    <xf numFmtId="164" fontId="0" fillId="0" borderId="0" xfId="0" applyNumberFormat="1"/>
    <xf numFmtId="2" fontId="6" fillId="41" borderId="0" xfId="0" applyNumberFormat="1" applyFont="1" applyFill="1" applyAlignment="1">
      <alignment vertical="top"/>
    </xf>
    <xf numFmtId="2" fontId="6" fillId="41" borderId="0" xfId="0" applyNumberFormat="1" applyFont="1" applyFill="1"/>
    <xf numFmtId="49" fontId="0" fillId="5" borderId="2" xfId="0" applyNumberFormat="1" applyFill="1" applyBorder="1"/>
    <xf numFmtId="14" fontId="12" fillId="0" borderId="2" xfId="8" applyBorder="1" applyAlignment="1"/>
    <xf numFmtId="14" fontId="0" fillId="0" borderId="5" xfId="0" applyNumberFormat="1" applyBorder="1" applyAlignment="1">
      <alignment vertical="center"/>
    </xf>
    <xf numFmtId="0" fontId="0" fillId="0" borderId="0" xfId="0" applyAlignment="1">
      <alignment horizontal="center"/>
    </xf>
    <xf numFmtId="0" fontId="12" fillId="0" borderId="25" xfId="9" applyNumberFormat="1" applyFill="1" applyBorder="1">
      <alignment horizontal="center" vertical="center"/>
      <protection locked="0"/>
    </xf>
    <xf numFmtId="0" fontId="12" fillId="0" borderId="0" xfId="9" applyNumberFormat="1" applyFill="1" applyBorder="1" applyAlignment="1">
      <alignment vertical="center"/>
      <protection locked="0"/>
    </xf>
    <xf numFmtId="0" fontId="0" fillId="8" borderId="46" xfId="0" applyFill="1" applyBorder="1"/>
    <xf numFmtId="0" fontId="24" fillId="42" borderId="47" xfId="0" applyFont="1" applyFill="1" applyBorder="1"/>
    <xf numFmtId="0" fontId="24" fillId="42" borderId="48" xfId="0" applyFont="1" applyFill="1" applyBorder="1"/>
    <xf numFmtId="0" fontId="24" fillId="42" borderId="48" xfId="0" applyFont="1" applyFill="1" applyBorder="1" applyAlignment="1">
      <alignment wrapText="1"/>
    </xf>
    <xf numFmtId="0" fontId="24" fillId="42" borderId="49" xfId="0" applyFont="1" applyFill="1" applyBorder="1" applyAlignment="1">
      <alignment wrapText="1"/>
    </xf>
    <xf numFmtId="0" fontId="0" fillId="8" borderId="47" xfId="0" applyFill="1" applyBorder="1"/>
    <xf numFmtId="0" fontId="0" fillId="8" borderId="48" xfId="0" applyFill="1" applyBorder="1"/>
    <xf numFmtId="49" fontId="0" fillId="8" borderId="48" xfId="0" applyNumberFormat="1" applyFill="1" applyBorder="1"/>
    <xf numFmtId="0" fontId="0" fillId="8" borderId="49" xfId="0" applyFill="1" applyBorder="1"/>
    <xf numFmtId="0" fontId="0" fillId="0" borderId="47" xfId="0" applyBorder="1"/>
    <xf numFmtId="0" fontId="0" fillId="0" borderId="48" xfId="0" applyBorder="1"/>
    <xf numFmtId="49" fontId="0" fillId="0" borderId="48" xfId="0" applyNumberFormat="1" applyBorder="1"/>
    <xf numFmtId="0" fontId="0" fillId="0" borderId="49" xfId="0" applyBorder="1"/>
    <xf numFmtId="0" fontId="15" fillId="8" borderId="48" xfId="0" applyFont="1" applyFill="1" applyBorder="1"/>
    <xf numFmtId="49" fontId="15" fillId="0" borderId="48" xfId="0" applyNumberFormat="1" applyFont="1" applyBorder="1"/>
    <xf numFmtId="49" fontId="0" fillId="8" borderId="48" xfId="0" applyNumberFormat="1" applyFill="1" applyBorder="1" applyAlignment="1">
      <alignment wrapText="1"/>
    </xf>
    <xf numFmtId="14" fontId="0" fillId="5" borderId="2" xfId="0" applyNumberFormat="1" applyFill="1" applyBorder="1" applyAlignment="1">
      <alignment horizontal="left"/>
    </xf>
    <xf numFmtId="0" fontId="31" fillId="0" borderId="0" xfId="0" applyFont="1"/>
    <xf numFmtId="14" fontId="12" fillId="0" borderId="19" xfId="8" applyBorder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3" fillId="0" borderId="0" xfId="0" applyFont="1"/>
    <xf numFmtId="14" fontId="0" fillId="0" borderId="0" xfId="0" applyNumberFormat="1" applyAlignment="1">
      <alignment vertical="center"/>
    </xf>
    <xf numFmtId="0" fontId="9" fillId="0" borderId="0" xfId="0" applyFont="1" applyAlignment="1">
      <alignment vertical="center" wrapText="1"/>
    </xf>
    <xf numFmtId="0" fontId="0" fillId="0" borderId="7" xfId="0" applyBorder="1" applyAlignment="1">
      <alignment horizontal="center"/>
    </xf>
    <xf numFmtId="14" fontId="12" fillId="9" borderId="3" xfId="4" applyBorder="1" applyAlignment="1" applyProtection="1">
      <alignment vertical="center"/>
      <protection locked="0"/>
    </xf>
    <xf numFmtId="14" fontId="12" fillId="6" borderId="3" xfId="2" applyBorder="1">
      <alignment horizontal="center" vertical="center"/>
      <protection locked="0"/>
    </xf>
    <xf numFmtId="14" fontId="12" fillId="44" borderId="3" xfId="3" applyBorder="1" applyAlignment="1" applyProtection="1">
      <alignment vertical="center"/>
      <protection locked="0"/>
    </xf>
    <xf numFmtId="14" fontId="12" fillId="13" borderId="3" xfId="10" applyBorder="1">
      <alignment horizontal="center" vertical="center"/>
      <protection locked="0"/>
    </xf>
    <xf numFmtId="14" fontId="12" fillId="12" borderId="3" xfId="9" applyBorder="1">
      <alignment horizontal="center" vertical="center"/>
      <protection locked="0"/>
    </xf>
    <xf numFmtId="14" fontId="12" fillId="12" borderId="6" xfId="9" applyBorder="1" applyAlignment="1">
      <alignment horizontal="left" vertical="center"/>
      <protection locked="0"/>
    </xf>
    <xf numFmtId="14" fontId="12" fillId="9" borderId="6" xfId="4" applyBorder="1" applyAlignment="1" applyProtection="1">
      <alignment horizontal="left" vertical="center"/>
      <protection locked="0"/>
    </xf>
    <xf numFmtId="14" fontId="12" fillId="6" borderId="6" xfId="2" applyBorder="1" applyAlignment="1">
      <alignment horizontal="left" vertical="center"/>
      <protection locked="0"/>
    </xf>
    <xf numFmtId="14" fontId="12" fillId="44" borderId="6" xfId="3" applyBorder="1" applyAlignment="1" applyProtection="1">
      <alignment horizontal="left" vertical="center"/>
      <protection locked="0"/>
    </xf>
    <xf numFmtId="14" fontId="12" fillId="13" borderId="6" xfId="10" applyBorder="1" applyAlignment="1">
      <alignment horizontal="left" vertical="center"/>
      <protection locked="0"/>
    </xf>
    <xf numFmtId="0" fontId="0" fillId="7" borderId="6" xfId="0" applyFill="1" applyBorder="1"/>
    <xf numFmtId="0" fontId="0" fillId="7" borderId="3" xfId="0" applyFill="1" applyBorder="1"/>
    <xf numFmtId="14" fontId="12" fillId="7" borderId="22" xfId="8" applyFill="1" applyBorder="1" applyAlignment="1">
      <alignment horizontal="center"/>
    </xf>
    <xf numFmtId="14" fontId="12" fillId="7" borderId="22" xfId="8" applyFill="1" applyBorder="1" applyAlignment="1" applyProtection="1">
      <alignment horizontal="center" vertical="center"/>
      <protection locked="0"/>
    </xf>
    <xf numFmtId="14" fontId="12" fillId="7" borderId="22" xfId="4" applyFill="1" applyBorder="1" applyAlignment="1">
      <alignment horizontal="center"/>
    </xf>
    <xf numFmtId="14" fontId="12" fillId="9" borderId="25" xfId="4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left"/>
    </xf>
    <xf numFmtId="0" fontId="9" fillId="0" borderId="3" xfId="0" applyFont="1" applyBorder="1" applyAlignment="1">
      <alignment horizontal="center" vertical="center" wrapText="1"/>
    </xf>
    <xf numFmtId="14" fontId="12" fillId="0" borderId="25" xfId="8" applyBorder="1" applyAlignment="1" applyProtection="1">
      <alignment horizontal="center" vertical="center"/>
      <protection locked="0"/>
    </xf>
    <xf numFmtId="166" fontId="28" fillId="41" borderId="0" xfId="55" applyNumberFormat="1" applyFill="1" applyAlignment="1">
      <alignment vertical="top"/>
    </xf>
    <xf numFmtId="14" fontId="12" fillId="0" borderId="25" xfId="3" applyFill="1" applyBorder="1" applyAlignment="1" applyProtection="1">
      <alignment horizontal="center" vertical="center"/>
      <protection locked="0"/>
    </xf>
    <xf numFmtId="14" fontId="12" fillId="0" borderId="25" xfId="2" applyFill="1" applyBorder="1">
      <alignment horizontal="center" vertical="center"/>
      <protection locked="0"/>
    </xf>
    <xf numFmtId="14" fontId="12" fillId="0" borderId="25" xfId="4" applyFill="1" applyBorder="1" applyAlignment="1" applyProtection="1">
      <alignment horizontal="center" vertical="center"/>
      <protection locked="0"/>
    </xf>
    <xf numFmtId="165" fontId="0" fillId="0" borderId="0" xfId="0" applyNumberFormat="1"/>
    <xf numFmtId="165" fontId="0" fillId="0" borderId="28" xfId="0" applyNumberFormat="1" applyBorder="1"/>
    <xf numFmtId="165" fontId="0" fillId="5" borderId="2" xfId="0" applyNumberFormat="1" applyFill="1" applyBorder="1"/>
    <xf numFmtId="165" fontId="0" fillId="5" borderId="2" xfId="0" applyNumberFormat="1" applyFill="1" applyBorder="1" applyAlignment="1">
      <alignment horizontal="right"/>
    </xf>
    <xf numFmtId="165" fontId="0" fillId="0" borderId="2" xfId="0" applyNumberFormat="1" applyBorder="1" applyAlignment="1">
      <alignment horizontal="center"/>
    </xf>
    <xf numFmtId="165" fontId="4" fillId="0" borderId="2" xfId="0" applyNumberFormat="1" applyFont="1" applyBorder="1" applyAlignment="1">
      <alignment horizontal="center"/>
    </xf>
    <xf numFmtId="165" fontId="4" fillId="0" borderId="0" xfId="0" applyNumberFormat="1" applyFont="1"/>
    <xf numFmtId="165" fontId="0" fillId="0" borderId="2" xfId="0" applyNumberFormat="1" applyBorder="1"/>
    <xf numFmtId="165" fontId="0" fillId="0" borderId="2" xfId="0" quotePrefix="1" applyNumberFormat="1" applyBorder="1"/>
    <xf numFmtId="165" fontId="0" fillId="0" borderId="29" xfId="0" applyNumberFormat="1" applyBorder="1"/>
    <xf numFmtId="167" fontId="0" fillId="0" borderId="2" xfId="0" applyNumberFormat="1" applyBorder="1" applyAlignment="1">
      <alignment horizontal="center"/>
    </xf>
    <xf numFmtId="167" fontId="4" fillId="0" borderId="2" xfId="0" applyNumberFormat="1" applyFont="1" applyBorder="1" applyAlignment="1">
      <alignment horizontal="center"/>
    </xf>
    <xf numFmtId="168" fontId="0" fillId="0" borderId="2" xfId="0" applyNumberFormat="1" applyBorder="1"/>
    <xf numFmtId="165" fontId="0" fillId="0" borderId="0" xfId="0" applyNumberFormat="1" applyAlignment="1">
      <alignment horizontal="center"/>
    </xf>
    <xf numFmtId="165" fontId="4" fillId="0" borderId="0" xfId="0" applyNumberFormat="1" applyFont="1" applyAlignment="1">
      <alignment horizont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67" fontId="4" fillId="0" borderId="0" xfId="0" applyNumberFormat="1" applyFont="1" applyAlignment="1">
      <alignment horizontal="center"/>
    </xf>
    <xf numFmtId="0" fontId="0" fillId="0" borderId="0" xfId="0" quotePrefix="1"/>
    <xf numFmtId="0" fontId="0" fillId="0" borderId="0" xfId="0" applyAlignment="1">
      <alignment horizontal="center" wrapText="1"/>
    </xf>
    <xf numFmtId="2" fontId="0" fillId="0" borderId="0" xfId="0" applyNumberFormat="1"/>
    <xf numFmtId="1" fontId="0" fillId="0" borderId="0" xfId="0" applyNumberFormat="1"/>
    <xf numFmtId="2" fontId="0" fillId="0" borderId="0" xfId="0" applyNumberFormat="1" applyAlignment="1">
      <alignment horizontal="center"/>
    </xf>
    <xf numFmtId="0" fontId="32" fillId="43" borderId="8" xfId="0" applyFont="1" applyFill="1" applyBorder="1"/>
    <xf numFmtId="0" fontId="32" fillId="43" borderId="10" xfId="0" applyFont="1" applyFill="1" applyBorder="1"/>
    <xf numFmtId="0" fontId="32" fillId="0" borderId="0" xfId="0" applyFont="1"/>
    <xf numFmtId="0" fontId="0" fillId="0" borderId="21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32" fillId="43" borderId="0" xfId="0" applyFont="1" applyFill="1"/>
    <xf numFmtId="14" fontId="12" fillId="44" borderId="25" xfId="3" applyBorder="1" applyAlignment="1" applyProtection="1">
      <alignment horizontal="center" vertical="center"/>
      <protection locked="0"/>
    </xf>
    <xf numFmtId="0" fontId="12" fillId="11" borderId="0" xfId="56"/>
    <xf numFmtId="0" fontId="12" fillId="11" borderId="25" xfId="56" applyBorder="1"/>
    <xf numFmtId="14" fontId="12" fillId="6" borderId="0" xfId="2" applyBorder="1">
      <alignment horizontal="center" vertical="center"/>
      <protection locked="0"/>
    </xf>
    <xf numFmtId="14" fontId="12" fillId="44" borderId="0" xfId="3" applyBorder="1" applyProtection="1">
      <alignment horizontal="center"/>
      <protection locked="0"/>
    </xf>
    <xf numFmtId="14" fontId="12" fillId="44" borderId="0" xfId="3" applyBorder="1">
      <alignment horizont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49" fontId="3" fillId="7" borderId="0" xfId="0" applyNumberFormat="1" applyFont="1" applyFill="1" applyAlignment="1">
      <alignment horizontal="center" vertical="top" wrapText="1"/>
    </xf>
    <xf numFmtId="0" fontId="3" fillId="7" borderId="0" xfId="0" applyFont="1" applyFill="1" applyAlignment="1">
      <alignment horizontal="center" vertical="top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41" borderId="34" xfId="0" applyFont="1" applyFill="1" applyBorder="1" applyAlignment="1">
      <alignment horizontal="left"/>
    </xf>
  </cellXfs>
  <cellStyles count="57">
    <cellStyle name="20% - Accent1" xfId="30" builtinId="30" hidden="1"/>
    <cellStyle name="20% - Accent2" xfId="34" builtinId="34" hidden="1"/>
    <cellStyle name="20% - Accent3" xfId="38" builtinId="38" hidden="1"/>
    <cellStyle name="20% - Accent4" xfId="42" builtinId="42" hidden="1"/>
    <cellStyle name="20% - Accent5" xfId="46" builtinId="46" hidden="1"/>
    <cellStyle name="20% - Accent6" xfId="50" builtinId="50" hidden="1"/>
    <cellStyle name="40% - Accent1" xfId="31" builtinId="31" hidden="1"/>
    <cellStyle name="40% - Accent2" xfId="35" builtinId="35" hidden="1"/>
    <cellStyle name="40% - Accent3" xfId="39" builtinId="39" hidden="1"/>
    <cellStyle name="40% - Accent4" xfId="43" builtinId="43" hidden="1"/>
    <cellStyle name="40% - Accent5" xfId="47" builtinId="47" hidden="1"/>
    <cellStyle name="40% - Accent6" xfId="51" builtinId="51" hidden="1"/>
    <cellStyle name="60% - Accent1" xfId="32" builtinId="32" hidden="1"/>
    <cellStyle name="60% - Accent2" xfId="36" builtinId="36" hidden="1"/>
    <cellStyle name="60% - Accent3" xfId="40" builtinId="40" hidden="1"/>
    <cellStyle name="60% - Accent4" xfId="44" builtinId="44" hidden="1"/>
    <cellStyle name="60% - Accent5" xfId="48" builtinId="48" hidden="1"/>
    <cellStyle name="60% - Accent6" xfId="52" builtinId="52" hidden="1"/>
    <cellStyle name="Accent1" xfId="29" builtinId="29" hidden="1"/>
    <cellStyle name="Accent2" xfId="33" builtinId="33" hidden="1"/>
    <cellStyle name="Accent3" xfId="37" builtinId="37" hidden="1"/>
    <cellStyle name="Accent4" xfId="41" builtinId="41" hidden="1"/>
    <cellStyle name="Accent5" xfId="45" builtinId="45" hidden="1"/>
    <cellStyle name="Accent6" xfId="49" builtinId="49" hidden="1"/>
    <cellStyle name="Bad" xfId="6" builtinId="27" hidden="1"/>
    <cellStyle name="Calculation" xfId="22" builtinId="22" hidden="1"/>
    <cellStyle name="Check Cell" xfId="24" builtinId="23" hidden="1"/>
    <cellStyle name="Comma" xfId="11" builtinId="3" hidden="1"/>
    <cellStyle name="Comma [0]" xfId="12" builtinId="6" hidden="1"/>
    <cellStyle name="Currency" xfId="13" builtinId="4" hidden="1"/>
    <cellStyle name="Currency [0]" xfId="14" builtinId="7" hidden="1"/>
    <cellStyle name="Explanatory Text" xfId="27" builtinId="53" hidden="1"/>
    <cellStyle name="Feiertag" xfId="4" xr:uid="{5482DF6A-FFF9-4E64-B799-AADF8849E93E}"/>
    <cellStyle name="Followed Hyperlink" xfId="54" builtinId="9" hidden="1"/>
    <cellStyle name="Good" xfId="5" builtinId="26" hidden="1"/>
    <cellStyle name="Heading 1" xfId="17" builtinId="16" hidden="1"/>
    <cellStyle name="Heading 2" xfId="18" builtinId="17" hidden="1"/>
    <cellStyle name="Heading 3" xfId="19" builtinId="18" hidden="1"/>
    <cellStyle name="Heading 4" xfId="20" builtinId="19" hidden="1"/>
    <cellStyle name="Hyperlink" xfId="53" builtinId="8" hidden="1"/>
    <cellStyle name="Hyperlink" xfId="55" builtinId="8"/>
    <cellStyle name="Input" xfId="1" builtinId="20" hidden="1"/>
    <cellStyle name="Krank" xfId="10" xr:uid="{533B764B-5FDD-4CD8-B4FE-5AFC9E3CBFD2}"/>
    <cellStyle name="Last/Next Month" xfId="56" xr:uid="{B9545FE5-4C00-4E3D-B05D-1810CDF71A91}"/>
    <cellStyle name="Linked Cell" xfId="23" builtinId="24" hidden="1"/>
    <cellStyle name="mobil" xfId="3" xr:uid="{0B6B1A84-1DCB-497F-8344-D56C11AC3243}"/>
    <cellStyle name="Neutral" xfId="7" builtinId="28" hidden="1"/>
    <cellStyle name="Normal" xfId="0" builtinId="0"/>
    <cellStyle name="Note" xfId="26" builtinId="10" hidden="1"/>
    <cellStyle name="Output" xfId="21" builtinId="21" hidden="1"/>
    <cellStyle name="Percent" xfId="15" builtinId="5" hidden="1"/>
    <cellStyle name="Schulung / Seminar" xfId="9" xr:uid="{EEE2A052-B5E2-4112-B581-CD0856FF6851}"/>
    <cellStyle name="Standard 2" xfId="8" xr:uid="{382A9753-8078-43D2-AD4D-346FE4AE4FDA}"/>
    <cellStyle name="Title" xfId="16" builtinId="15" hidden="1"/>
    <cellStyle name="Total" xfId="28" builtinId="25" hidden="1"/>
    <cellStyle name="Urlaub" xfId="2" xr:uid="{2A14D28C-DCFC-456C-9489-C4266E811CA6}"/>
    <cellStyle name="Warning Text" xfId="25" builtinId="11" hidden="1"/>
  </cellStyles>
  <dxfs count="20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B889DB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B889DB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104775</xdr:rowOff>
    </xdr:from>
    <xdr:to>
      <xdr:col>1</xdr:col>
      <xdr:colOff>147507</xdr:colOff>
      <xdr:row>2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104775"/>
          <a:ext cx="842832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6</xdr:row>
          <xdr:rowOff>142875</xdr:rowOff>
        </xdr:from>
        <xdr:to>
          <xdr:col>2</xdr:col>
          <xdr:colOff>752475</xdr:colOff>
          <xdr:row>8</xdr:row>
          <xdr:rowOff>9525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6</xdr:row>
          <xdr:rowOff>38100</xdr:rowOff>
        </xdr:from>
        <xdr:to>
          <xdr:col>5</xdr:col>
          <xdr:colOff>142875</xdr:colOff>
          <xdr:row>8</xdr:row>
          <xdr:rowOff>114300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7</xdr:row>
          <xdr:rowOff>152400</xdr:rowOff>
        </xdr:from>
        <xdr:to>
          <xdr:col>5</xdr:col>
          <xdr:colOff>419100</xdr:colOff>
          <xdr:row>9</xdr:row>
          <xdr:rowOff>133350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7</xdr:row>
          <xdr:rowOff>152400</xdr:rowOff>
        </xdr:from>
        <xdr:to>
          <xdr:col>3</xdr:col>
          <xdr:colOff>485775</xdr:colOff>
          <xdr:row>9</xdr:row>
          <xdr:rowOff>114300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6</xdr:row>
          <xdr:rowOff>47625</xdr:rowOff>
        </xdr:from>
        <xdr:to>
          <xdr:col>4</xdr:col>
          <xdr:colOff>104775</xdr:colOff>
          <xdr:row>8</xdr:row>
          <xdr:rowOff>123825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104775</xdr:rowOff>
    </xdr:from>
    <xdr:to>
      <xdr:col>1</xdr:col>
      <xdr:colOff>147507</xdr:colOff>
      <xdr:row>2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104775"/>
          <a:ext cx="842832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6</xdr:row>
          <xdr:rowOff>142875</xdr:rowOff>
        </xdr:from>
        <xdr:to>
          <xdr:col>2</xdr:col>
          <xdr:colOff>752475</xdr:colOff>
          <xdr:row>8</xdr:row>
          <xdr:rowOff>9525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6</xdr:row>
          <xdr:rowOff>38100</xdr:rowOff>
        </xdr:from>
        <xdr:to>
          <xdr:col>5</xdr:col>
          <xdr:colOff>142875</xdr:colOff>
          <xdr:row>8</xdr:row>
          <xdr:rowOff>114300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9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7</xdr:row>
          <xdr:rowOff>152400</xdr:rowOff>
        </xdr:from>
        <xdr:to>
          <xdr:col>5</xdr:col>
          <xdr:colOff>419100</xdr:colOff>
          <xdr:row>9</xdr:row>
          <xdr:rowOff>133350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9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7</xdr:row>
          <xdr:rowOff>152400</xdr:rowOff>
        </xdr:from>
        <xdr:to>
          <xdr:col>3</xdr:col>
          <xdr:colOff>485775</xdr:colOff>
          <xdr:row>9</xdr:row>
          <xdr:rowOff>114300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9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6</xdr:row>
          <xdr:rowOff>47625</xdr:rowOff>
        </xdr:from>
        <xdr:to>
          <xdr:col>4</xdr:col>
          <xdr:colOff>104775</xdr:colOff>
          <xdr:row>8</xdr:row>
          <xdr:rowOff>123825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9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104775</xdr:rowOff>
    </xdr:from>
    <xdr:to>
      <xdr:col>1</xdr:col>
      <xdr:colOff>147507</xdr:colOff>
      <xdr:row>2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104775"/>
          <a:ext cx="842832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6</xdr:row>
          <xdr:rowOff>142875</xdr:rowOff>
        </xdr:from>
        <xdr:to>
          <xdr:col>2</xdr:col>
          <xdr:colOff>752475</xdr:colOff>
          <xdr:row>8</xdr:row>
          <xdr:rowOff>9525</xdr:rowOff>
        </xdr:to>
        <xdr:sp macro="" textlink="">
          <xdr:nvSpPr>
            <xdr:cNvPr id="38913" name="Check Box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A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6</xdr:row>
          <xdr:rowOff>38100</xdr:rowOff>
        </xdr:from>
        <xdr:to>
          <xdr:col>5</xdr:col>
          <xdr:colOff>142875</xdr:colOff>
          <xdr:row>8</xdr:row>
          <xdr:rowOff>114300</xdr:rowOff>
        </xdr:to>
        <xdr:sp macro="" textlink="">
          <xdr:nvSpPr>
            <xdr:cNvPr id="38914" name="Check Box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A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7</xdr:row>
          <xdr:rowOff>152400</xdr:rowOff>
        </xdr:from>
        <xdr:to>
          <xdr:col>5</xdr:col>
          <xdr:colOff>419100</xdr:colOff>
          <xdr:row>9</xdr:row>
          <xdr:rowOff>133350</xdr:rowOff>
        </xdr:to>
        <xdr:sp macro="" textlink="">
          <xdr:nvSpPr>
            <xdr:cNvPr id="38915" name="Check Box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A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7</xdr:row>
          <xdr:rowOff>152400</xdr:rowOff>
        </xdr:from>
        <xdr:to>
          <xdr:col>3</xdr:col>
          <xdr:colOff>485775</xdr:colOff>
          <xdr:row>9</xdr:row>
          <xdr:rowOff>114300</xdr:rowOff>
        </xdr:to>
        <xdr:sp macro="" textlink="">
          <xdr:nvSpPr>
            <xdr:cNvPr id="38916" name="Check Box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A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6</xdr:row>
          <xdr:rowOff>47625</xdr:rowOff>
        </xdr:from>
        <xdr:to>
          <xdr:col>4</xdr:col>
          <xdr:colOff>104775</xdr:colOff>
          <xdr:row>8</xdr:row>
          <xdr:rowOff>123825</xdr:rowOff>
        </xdr:to>
        <xdr:sp macro="" textlink="">
          <xdr:nvSpPr>
            <xdr:cNvPr id="38917" name="Check Box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A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104775</xdr:rowOff>
    </xdr:from>
    <xdr:to>
      <xdr:col>1</xdr:col>
      <xdr:colOff>147507</xdr:colOff>
      <xdr:row>2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104775"/>
          <a:ext cx="842832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6</xdr:row>
          <xdr:rowOff>142875</xdr:rowOff>
        </xdr:from>
        <xdr:to>
          <xdr:col>2</xdr:col>
          <xdr:colOff>752475</xdr:colOff>
          <xdr:row>8</xdr:row>
          <xdr:rowOff>9525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B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6</xdr:row>
          <xdr:rowOff>38100</xdr:rowOff>
        </xdr:from>
        <xdr:to>
          <xdr:col>5</xdr:col>
          <xdr:colOff>142875</xdr:colOff>
          <xdr:row>8</xdr:row>
          <xdr:rowOff>114300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B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7</xdr:row>
          <xdr:rowOff>152400</xdr:rowOff>
        </xdr:from>
        <xdr:to>
          <xdr:col>5</xdr:col>
          <xdr:colOff>419100</xdr:colOff>
          <xdr:row>9</xdr:row>
          <xdr:rowOff>133350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B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7</xdr:row>
          <xdr:rowOff>152400</xdr:rowOff>
        </xdr:from>
        <xdr:to>
          <xdr:col>3</xdr:col>
          <xdr:colOff>485775</xdr:colOff>
          <xdr:row>9</xdr:row>
          <xdr:rowOff>114300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B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6</xdr:row>
          <xdr:rowOff>47625</xdr:rowOff>
        </xdr:from>
        <xdr:to>
          <xdr:col>4</xdr:col>
          <xdr:colOff>104775</xdr:colOff>
          <xdr:row>8</xdr:row>
          <xdr:rowOff>123825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B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104775</xdr:rowOff>
    </xdr:from>
    <xdr:to>
      <xdr:col>1</xdr:col>
      <xdr:colOff>147507</xdr:colOff>
      <xdr:row>2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104775"/>
          <a:ext cx="842832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6</xdr:row>
          <xdr:rowOff>142875</xdr:rowOff>
        </xdr:from>
        <xdr:to>
          <xdr:col>2</xdr:col>
          <xdr:colOff>752475</xdr:colOff>
          <xdr:row>8</xdr:row>
          <xdr:rowOff>9525</xdr:rowOff>
        </xdr:to>
        <xdr:sp macro="" textlink="">
          <xdr:nvSpPr>
            <xdr:cNvPr id="37889" name="Check Box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C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6</xdr:row>
          <xdr:rowOff>38100</xdr:rowOff>
        </xdr:from>
        <xdr:to>
          <xdr:col>5</xdr:col>
          <xdr:colOff>142875</xdr:colOff>
          <xdr:row>8</xdr:row>
          <xdr:rowOff>114300</xdr:rowOff>
        </xdr:to>
        <xdr:sp macro="" textlink="">
          <xdr:nvSpPr>
            <xdr:cNvPr id="37890" name="Check Box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C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7</xdr:row>
          <xdr:rowOff>152400</xdr:rowOff>
        </xdr:from>
        <xdr:to>
          <xdr:col>5</xdr:col>
          <xdr:colOff>419100</xdr:colOff>
          <xdr:row>9</xdr:row>
          <xdr:rowOff>133350</xdr:rowOff>
        </xdr:to>
        <xdr:sp macro="" textlink="">
          <xdr:nvSpPr>
            <xdr:cNvPr id="37891" name="Check Box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C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7</xdr:row>
          <xdr:rowOff>152400</xdr:rowOff>
        </xdr:from>
        <xdr:to>
          <xdr:col>3</xdr:col>
          <xdr:colOff>485775</xdr:colOff>
          <xdr:row>9</xdr:row>
          <xdr:rowOff>114300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C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6</xdr:row>
          <xdr:rowOff>47625</xdr:rowOff>
        </xdr:from>
        <xdr:to>
          <xdr:col>4</xdr:col>
          <xdr:colOff>104775</xdr:colOff>
          <xdr:row>8</xdr:row>
          <xdr:rowOff>123825</xdr:rowOff>
        </xdr:to>
        <xdr:sp macro="" textlink="">
          <xdr:nvSpPr>
            <xdr:cNvPr id="37893" name="Check Box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C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104775</xdr:rowOff>
    </xdr:from>
    <xdr:to>
      <xdr:col>1</xdr:col>
      <xdr:colOff>147507</xdr:colOff>
      <xdr:row>2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104775"/>
          <a:ext cx="842832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6</xdr:row>
          <xdr:rowOff>142875</xdr:rowOff>
        </xdr:from>
        <xdr:to>
          <xdr:col>2</xdr:col>
          <xdr:colOff>752475</xdr:colOff>
          <xdr:row>8</xdr:row>
          <xdr:rowOff>9525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D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6</xdr:row>
          <xdr:rowOff>38100</xdr:rowOff>
        </xdr:from>
        <xdr:to>
          <xdr:col>5</xdr:col>
          <xdr:colOff>142875</xdr:colOff>
          <xdr:row>8</xdr:row>
          <xdr:rowOff>114300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D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7</xdr:row>
          <xdr:rowOff>152400</xdr:rowOff>
        </xdr:from>
        <xdr:to>
          <xdr:col>5</xdr:col>
          <xdr:colOff>419100</xdr:colOff>
          <xdr:row>9</xdr:row>
          <xdr:rowOff>133350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D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7</xdr:row>
          <xdr:rowOff>152400</xdr:rowOff>
        </xdr:from>
        <xdr:to>
          <xdr:col>3</xdr:col>
          <xdr:colOff>485775</xdr:colOff>
          <xdr:row>9</xdr:row>
          <xdr:rowOff>114300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D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6</xdr:row>
          <xdr:rowOff>47625</xdr:rowOff>
        </xdr:from>
        <xdr:to>
          <xdr:col>4</xdr:col>
          <xdr:colOff>104775</xdr:colOff>
          <xdr:row>8</xdr:row>
          <xdr:rowOff>123825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D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104775</xdr:rowOff>
    </xdr:from>
    <xdr:to>
      <xdr:col>1</xdr:col>
      <xdr:colOff>147507</xdr:colOff>
      <xdr:row>2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104775"/>
          <a:ext cx="842832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6</xdr:row>
          <xdr:rowOff>142875</xdr:rowOff>
        </xdr:from>
        <xdr:to>
          <xdr:col>2</xdr:col>
          <xdr:colOff>752475</xdr:colOff>
          <xdr:row>8</xdr:row>
          <xdr:rowOff>9525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6</xdr:row>
          <xdr:rowOff>38100</xdr:rowOff>
        </xdr:from>
        <xdr:to>
          <xdr:col>5</xdr:col>
          <xdr:colOff>142875</xdr:colOff>
          <xdr:row>8</xdr:row>
          <xdr:rowOff>114300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7</xdr:row>
          <xdr:rowOff>152400</xdr:rowOff>
        </xdr:from>
        <xdr:to>
          <xdr:col>5</xdr:col>
          <xdr:colOff>419100</xdr:colOff>
          <xdr:row>9</xdr:row>
          <xdr:rowOff>133350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7</xdr:row>
          <xdr:rowOff>152400</xdr:rowOff>
        </xdr:from>
        <xdr:to>
          <xdr:col>3</xdr:col>
          <xdr:colOff>485775</xdr:colOff>
          <xdr:row>9</xdr:row>
          <xdr:rowOff>114300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6</xdr:row>
          <xdr:rowOff>47625</xdr:rowOff>
        </xdr:from>
        <xdr:to>
          <xdr:col>4</xdr:col>
          <xdr:colOff>104775</xdr:colOff>
          <xdr:row>8</xdr:row>
          <xdr:rowOff>123825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104775</xdr:rowOff>
    </xdr:from>
    <xdr:to>
      <xdr:col>1</xdr:col>
      <xdr:colOff>147507</xdr:colOff>
      <xdr:row>2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104775"/>
          <a:ext cx="842832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6</xdr:row>
          <xdr:rowOff>142875</xdr:rowOff>
        </xdr:from>
        <xdr:to>
          <xdr:col>2</xdr:col>
          <xdr:colOff>752475</xdr:colOff>
          <xdr:row>8</xdr:row>
          <xdr:rowOff>9525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6</xdr:row>
          <xdr:rowOff>38100</xdr:rowOff>
        </xdr:from>
        <xdr:to>
          <xdr:col>5</xdr:col>
          <xdr:colOff>142875</xdr:colOff>
          <xdr:row>8</xdr:row>
          <xdr:rowOff>114300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7</xdr:row>
          <xdr:rowOff>152400</xdr:rowOff>
        </xdr:from>
        <xdr:to>
          <xdr:col>5</xdr:col>
          <xdr:colOff>419100</xdr:colOff>
          <xdr:row>9</xdr:row>
          <xdr:rowOff>133350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F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7</xdr:row>
          <xdr:rowOff>152400</xdr:rowOff>
        </xdr:from>
        <xdr:to>
          <xdr:col>3</xdr:col>
          <xdr:colOff>485775</xdr:colOff>
          <xdr:row>9</xdr:row>
          <xdr:rowOff>114300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F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6</xdr:row>
          <xdr:rowOff>47625</xdr:rowOff>
        </xdr:from>
        <xdr:to>
          <xdr:col>4</xdr:col>
          <xdr:colOff>104775</xdr:colOff>
          <xdr:row>8</xdr:row>
          <xdr:rowOff>123825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F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104775</xdr:rowOff>
    </xdr:from>
    <xdr:to>
      <xdr:col>1</xdr:col>
      <xdr:colOff>147507</xdr:colOff>
      <xdr:row>2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104775"/>
          <a:ext cx="842832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6</xdr:row>
          <xdr:rowOff>142875</xdr:rowOff>
        </xdr:from>
        <xdr:to>
          <xdr:col>2</xdr:col>
          <xdr:colOff>752475</xdr:colOff>
          <xdr:row>8</xdr:row>
          <xdr:rowOff>9525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6</xdr:row>
          <xdr:rowOff>38100</xdr:rowOff>
        </xdr:from>
        <xdr:to>
          <xdr:col>5</xdr:col>
          <xdr:colOff>142875</xdr:colOff>
          <xdr:row>8</xdr:row>
          <xdr:rowOff>114300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7</xdr:row>
          <xdr:rowOff>152400</xdr:rowOff>
        </xdr:from>
        <xdr:to>
          <xdr:col>5</xdr:col>
          <xdr:colOff>419100</xdr:colOff>
          <xdr:row>9</xdr:row>
          <xdr:rowOff>133350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1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7</xdr:row>
          <xdr:rowOff>152400</xdr:rowOff>
        </xdr:from>
        <xdr:to>
          <xdr:col>3</xdr:col>
          <xdr:colOff>485775</xdr:colOff>
          <xdr:row>9</xdr:row>
          <xdr:rowOff>114300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1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6</xdr:row>
          <xdr:rowOff>47625</xdr:rowOff>
        </xdr:from>
        <xdr:to>
          <xdr:col>4</xdr:col>
          <xdr:colOff>104775</xdr:colOff>
          <xdr:row>8</xdr:row>
          <xdr:rowOff>123825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1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104775</xdr:rowOff>
    </xdr:from>
    <xdr:to>
      <xdr:col>1</xdr:col>
      <xdr:colOff>147507</xdr:colOff>
      <xdr:row>2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104775"/>
          <a:ext cx="842832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6</xdr:row>
          <xdr:rowOff>142875</xdr:rowOff>
        </xdr:from>
        <xdr:to>
          <xdr:col>2</xdr:col>
          <xdr:colOff>752475</xdr:colOff>
          <xdr:row>8</xdr:row>
          <xdr:rowOff>9525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1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6</xdr:row>
          <xdr:rowOff>38100</xdr:rowOff>
        </xdr:from>
        <xdr:to>
          <xdr:col>5</xdr:col>
          <xdr:colOff>142875</xdr:colOff>
          <xdr:row>8</xdr:row>
          <xdr:rowOff>114300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1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7</xdr:row>
          <xdr:rowOff>152400</xdr:rowOff>
        </xdr:from>
        <xdr:to>
          <xdr:col>5</xdr:col>
          <xdr:colOff>419100</xdr:colOff>
          <xdr:row>9</xdr:row>
          <xdr:rowOff>133350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1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7</xdr:row>
          <xdr:rowOff>152400</xdr:rowOff>
        </xdr:from>
        <xdr:to>
          <xdr:col>3</xdr:col>
          <xdr:colOff>485775</xdr:colOff>
          <xdr:row>9</xdr:row>
          <xdr:rowOff>114300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11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6</xdr:row>
          <xdr:rowOff>47625</xdr:rowOff>
        </xdr:from>
        <xdr:to>
          <xdr:col>4</xdr:col>
          <xdr:colOff>104775</xdr:colOff>
          <xdr:row>8</xdr:row>
          <xdr:rowOff>123825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11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104775</xdr:rowOff>
    </xdr:from>
    <xdr:to>
      <xdr:col>1</xdr:col>
      <xdr:colOff>147507</xdr:colOff>
      <xdr:row>2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104775"/>
          <a:ext cx="842832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6</xdr:row>
          <xdr:rowOff>142875</xdr:rowOff>
        </xdr:from>
        <xdr:to>
          <xdr:col>2</xdr:col>
          <xdr:colOff>752475</xdr:colOff>
          <xdr:row>8</xdr:row>
          <xdr:rowOff>9525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6</xdr:row>
          <xdr:rowOff>38100</xdr:rowOff>
        </xdr:from>
        <xdr:to>
          <xdr:col>5</xdr:col>
          <xdr:colOff>142875</xdr:colOff>
          <xdr:row>8</xdr:row>
          <xdr:rowOff>114300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1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7</xdr:row>
          <xdr:rowOff>152400</xdr:rowOff>
        </xdr:from>
        <xdr:to>
          <xdr:col>5</xdr:col>
          <xdr:colOff>419100</xdr:colOff>
          <xdr:row>9</xdr:row>
          <xdr:rowOff>133350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1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7</xdr:row>
          <xdr:rowOff>152400</xdr:rowOff>
        </xdr:from>
        <xdr:to>
          <xdr:col>3</xdr:col>
          <xdr:colOff>485775</xdr:colOff>
          <xdr:row>9</xdr:row>
          <xdr:rowOff>114300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1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6</xdr:row>
          <xdr:rowOff>47625</xdr:rowOff>
        </xdr:from>
        <xdr:to>
          <xdr:col>4</xdr:col>
          <xdr:colOff>104775</xdr:colOff>
          <xdr:row>8</xdr:row>
          <xdr:rowOff>123825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1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104775</xdr:rowOff>
    </xdr:from>
    <xdr:to>
      <xdr:col>1</xdr:col>
      <xdr:colOff>147507</xdr:colOff>
      <xdr:row>2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104775"/>
          <a:ext cx="842832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6</xdr:row>
          <xdr:rowOff>142875</xdr:rowOff>
        </xdr:from>
        <xdr:to>
          <xdr:col>2</xdr:col>
          <xdr:colOff>752475</xdr:colOff>
          <xdr:row>8</xdr:row>
          <xdr:rowOff>9525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6</xdr:row>
          <xdr:rowOff>38100</xdr:rowOff>
        </xdr:from>
        <xdr:to>
          <xdr:col>5</xdr:col>
          <xdr:colOff>142875</xdr:colOff>
          <xdr:row>8</xdr:row>
          <xdr:rowOff>114300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7</xdr:row>
          <xdr:rowOff>152400</xdr:rowOff>
        </xdr:from>
        <xdr:to>
          <xdr:col>5</xdr:col>
          <xdr:colOff>419100</xdr:colOff>
          <xdr:row>9</xdr:row>
          <xdr:rowOff>133350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1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7</xdr:row>
          <xdr:rowOff>152400</xdr:rowOff>
        </xdr:from>
        <xdr:to>
          <xdr:col>3</xdr:col>
          <xdr:colOff>485775</xdr:colOff>
          <xdr:row>9</xdr:row>
          <xdr:rowOff>114300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1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6</xdr:row>
          <xdr:rowOff>47625</xdr:rowOff>
        </xdr:from>
        <xdr:to>
          <xdr:col>4</xdr:col>
          <xdr:colOff>104775</xdr:colOff>
          <xdr:row>8</xdr:row>
          <xdr:rowOff>123825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1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andreas_engels_hmhw_com/Documents/Documents/TS_2021_Engels.xlsm" TargetMode="External"/><Relationship Id="rId1" Type="http://schemas.openxmlformats.org/officeDocument/2006/relationships/externalLinkPath" Target="/personal/andreas_engels_hmhw_com/Documents/Documents/TS_2021_Engel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andreas_engels_hmhw_com/Documents/Documents/TS_2021_Engels_1.0.xlsm" TargetMode="External"/><Relationship Id="rId1" Type="http://schemas.openxmlformats.org/officeDocument/2006/relationships/externalLinkPath" Target="/personal/andreas_engels_hmhw_com/Documents/Documents/TS_2021_Engels_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2021"/>
      <sheetName val="IBN P.1450"/>
      <sheetName val="SAP"/>
      <sheetName val="Task"/>
      <sheetName val="Statistic_2021"/>
      <sheetName val="Urlaub_2021"/>
      <sheetName val="pers. data"/>
      <sheetName val="Vorlage_Jahr"/>
      <sheetName val="change history"/>
      <sheetName val="Save_History"/>
      <sheetName val="TS_2021_Engels"/>
    </sheetNames>
    <sheetDataSet>
      <sheetData sheetId="0">
        <row r="6">
          <cell r="A6" t="str">
            <v>KW</v>
          </cell>
        </row>
        <row r="27">
          <cell r="D27">
            <v>1.6701388888888891</v>
          </cell>
        </row>
        <row r="50">
          <cell r="D50">
            <v>1.6770833333333333</v>
          </cell>
        </row>
        <row r="73">
          <cell r="D73">
            <v>1.6715277777777779</v>
          </cell>
        </row>
        <row r="96">
          <cell r="D96">
            <v>1.6986111111111113</v>
          </cell>
        </row>
        <row r="119">
          <cell r="D119">
            <v>1.90625</v>
          </cell>
        </row>
        <row r="142">
          <cell r="D142">
            <v>1.666666666666667</v>
          </cell>
        </row>
        <row r="165">
          <cell r="D165">
            <v>1.666666666666667</v>
          </cell>
        </row>
        <row r="188">
          <cell r="D188">
            <v>1.666666666666667</v>
          </cell>
        </row>
        <row r="211">
          <cell r="D211">
            <v>1.666666666666667</v>
          </cell>
        </row>
        <row r="234">
          <cell r="D234">
            <v>1.666666666666667</v>
          </cell>
        </row>
        <row r="257">
          <cell r="D257">
            <v>1.666666666666667</v>
          </cell>
        </row>
        <row r="280">
          <cell r="D280">
            <v>1.666666666666667</v>
          </cell>
        </row>
        <row r="303">
          <cell r="D303">
            <v>1.666666666666667</v>
          </cell>
        </row>
        <row r="326">
          <cell r="D326">
            <v>1.666666666666667</v>
          </cell>
        </row>
        <row r="349">
          <cell r="D349">
            <v>1.666666666666667</v>
          </cell>
        </row>
        <row r="372">
          <cell r="D372">
            <v>1.666666666666667</v>
          </cell>
        </row>
        <row r="395">
          <cell r="D395">
            <v>1.666666666666667</v>
          </cell>
        </row>
        <row r="418">
          <cell r="D418">
            <v>1.666666666666667</v>
          </cell>
        </row>
        <row r="441">
          <cell r="D441">
            <v>1.666666666666667</v>
          </cell>
        </row>
        <row r="464">
          <cell r="D464">
            <v>1.666666666666667</v>
          </cell>
        </row>
        <row r="487">
          <cell r="D487">
            <v>1.666666666666667</v>
          </cell>
        </row>
        <row r="510">
          <cell r="D510">
            <v>1.666666666666667</v>
          </cell>
        </row>
        <row r="533">
          <cell r="D533">
            <v>1.666666666666667</v>
          </cell>
        </row>
        <row r="556">
          <cell r="D556">
            <v>1.666666666666667</v>
          </cell>
        </row>
        <row r="579">
          <cell r="D579">
            <v>1.666666666666667</v>
          </cell>
        </row>
        <row r="602">
          <cell r="D602">
            <v>1.666666666666667</v>
          </cell>
        </row>
        <row r="625">
          <cell r="D625">
            <v>1.666666666666667</v>
          </cell>
        </row>
        <row r="648">
          <cell r="D648">
            <v>1.666666666666667</v>
          </cell>
        </row>
        <row r="671">
          <cell r="D671">
            <v>1.666666666666667</v>
          </cell>
        </row>
        <row r="694">
          <cell r="D694">
            <v>1.666666666666667</v>
          </cell>
        </row>
        <row r="717">
          <cell r="D717">
            <v>1.666666666666667</v>
          </cell>
        </row>
        <row r="740">
          <cell r="D740">
            <v>1.666666666666667</v>
          </cell>
        </row>
        <row r="763">
          <cell r="D763">
            <v>1.666666666666667</v>
          </cell>
        </row>
        <row r="786">
          <cell r="D786">
            <v>1.666666666666667</v>
          </cell>
        </row>
        <row r="809">
          <cell r="D809">
            <v>1.666666666666667</v>
          </cell>
        </row>
        <row r="832">
          <cell r="D832">
            <v>1.666666666666667</v>
          </cell>
        </row>
        <row r="855">
          <cell r="D855">
            <v>1.666666666666667</v>
          </cell>
        </row>
        <row r="878">
          <cell r="D878">
            <v>1.666666666666667</v>
          </cell>
        </row>
        <row r="901">
          <cell r="D901">
            <v>1.666666666666667</v>
          </cell>
        </row>
        <row r="924">
          <cell r="D924">
            <v>1.666666666666667</v>
          </cell>
        </row>
        <row r="947">
          <cell r="D947">
            <v>1.666666666666667</v>
          </cell>
        </row>
        <row r="970">
          <cell r="D970">
            <v>1.666666666666667</v>
          </cell>
        </row>
        <row r="993">
          <cell r="D993">
            <v>1.666666666666667</v>
          </cell>
        </row>
        <row r="1016">
          <cell r="D1016">
            <v>1.666666666666667</v>
          </cell>
        </row>
        <row r="1039">
          <cell r="D1039">
            <v>1.666666666666667</v>
          </cell>
        </row>
        <row r="1062">
          <cell r="D1062">
            <v>1.666666666666667</v>
          </cell>
        </row>
        <row r="1085">
          <cell r="D1085">
            <v>1.666666666666667</v>
          </cell>
        </row>
        <row r="1108">
          <cell r="D1108">
            <v>1.666666666666667</v>
          </cell>
        </row>
        <row r="1131">
          <cell r="D1131">
            <v>1.666666666666667</v>
          </cell>
        </row>
        <row r="1154">
          <cell r="D1154">
            <v>1.666666666666667</v>
          </cell>
        </row>
        <row r="1177">
          <cell r="D1177">
            <v>1.666666666666667</v>
          </cell>
        </row>
        <row r="1200">
          <cell r="D1200">
            <v>1.666666666666667</v>
          </cell>
        </row>
        <row r="1223">
          <cell r="D1223">
            <v>1.666666666666667</v>
          </cell>
        </row>
      </sheetData>
      <sheetData sheetId="1"/>
      <sheetData sheetId="2"/>
      <sheetData sheetId="3"/>
      <sheetData sheetId="4"/>
      <sheetData sheetId="5"/>
      <sheetData sheetId="6">
        <row r="2">
          <cell r="C2">
            <v>181</v>
          </cell>
        </row>
        <row r="3">
          <cell r="C3" t="str">
            <v>942</v>
          </cell>
        </row>
        <row r="4">
          <cell r="C4">
            <v>0.33333333333333337</v>
          </cell>
        </row>
        <row r="5">
          <cell r="C5">
            <v>42735</v>
          </cell>
        </row>
        <row r="6">
          <cell r="C6">
            <v>42738</v>
          </cell>
        </row>
        <row r="7">
          <cell r="C7">
            <v>1.6666666666666667</v>
          </cell>
        </row>
      </sheetData>
      <sheetData sheetId="7"/>
      <sheetData sheetId="8"/>
      <sheetData sheetId="9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2021"/>
      <sheetName val="Task"/>
      <sheetName val="SAP"/>
      <sheetName val="Vorlage_Jahr"/>
      <sheetName val="Statistic"/>
      <sheetName val="pers. data"/>
      <sheetName val="change history"/>
      <sheetName val="Save_History"/>
      <sheetName val="Statistic_2021"/>
      <sheetName val="Urlaub_2021"/>
      <sheetName val="IBN P.1437"/>
      <sheetName val="IBN P.1450"/>
      <sheetName val="TS_2021_Engels_1.0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>
        <row r="2">
          <cell r="C2">
            <v>181</v>
          </cell>
        </row>
        <row r="3">
          <cell r="C3" t="str">
            <v>942</v>
          </cell>
        </row>
        <row r="4">
          <cell r="C4">
            <v>0.33333333333333331</v>
          </cell>
        </row>
        <row r="5">
          <cell r="C5">
            <v>44197</v>
          </cell>
        </row>
        <row r="6">
          <cell r="C6">
            <v>44200</v>
          </cell>
        </row>
        <row r="7">
          <cell r="C7">
            <v>3.125E-2</v>
          </cell>
        </row>
        <row r="8">
          <cell r="C8">
            <v>2.0833333333333332E-2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5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E995F-B855-4859-9265-64A3637E9FF0}">
  <dimension ref="A1:AG136"/>
  <sheetViews>
    <sheetView tabSelected="1" workbookViewId="0">
      <selection activeCell="H5" sqref="H5"/>
    </sheetView>
  </sheetViews>
  <sheetFormatPr defaultRowHeight="15" x14ac:dyDescent="0.25"/>
  <cols>
    <col min="1" max="1" width="22.5703125" style="36" bestFit="1" customWidth="1"/>
    <col min="2" max="2" width="10.28515625" style="198" customWidth="1"/>
    <col min="4" max="5" width="9.140625" style="193"/>
    <col min="6" max="6" width="0" style="193" hidden="1" customWidth="1"/>
    <col min="7" max="7" width="10.140625" style="193" customWidth="1"/>
    <col min="8" max="8" width="14.140625" style="126" customWidth="1"/>
    <col min="9" max="9" width="16" style="126" bestFit="1" customWidth="1"/>
    <col min="10" max="10" width="9.140625" style="192"/>
    <col min="11" max="11" width="10.7109375" style="199" customWidth="1"/>
    <col min="14" max="14" width="9.140625" style="197"/>
    <col min="15" max="15" width="12.7109375" bestFit="1" customWidth="1"/>
    <col min="16" max="16" width="12.5703125" customWidth="1"/>
    <col min="19" max="20" width="10.7109375" bestFit="1" customWidth="1"/>
  </cols>
  <sheetData>
    <row r="1" spans="1:18" ht="30.75" thickBot="1" x14ac:dyDescent="0.3">
      <c r="A1" s="36" t="s">
        <v>2</v>
      </c>
      <c r="B1" s="198" t="s">
        <v>272</v>
      </c>
      <c r="C1" t="s">
        <v>262</v>
      </c>
      <c r="D1" s="193" t="s">
        <v>263</v>
      </c>
      <c r="E1" s="193" t="s">
        <v>264</v>
      </c>
      <c r="F1" s="193" t="s">
        <v>276</v>
      </c>
      <c r="G1" s="193" t="s">
        <v>5</v>
      </c>
      <c r="H1" s="196" t="s">
        <v>271</v>
      </c>
      <c r="I1" s="126" t="s">
        <v>265</v>
      </c>
      <c r="J1" s="192" t="s">
        <v>266</v>
      </c>
      <c r="K1" s="199" t="s">
        <v>275</v>
      </c>
      <c r="L1" t="s">
        <v>268</v>
      </c>
      <c r="M1" t="s">
        <v>267</v>
      </c>
      <c r="N1" s="197" t="s">
        <v>274</v>
      </c>
      <c r="P1" s="200" t="s">
        <v>273</v>
      </c>
      <c r="Q1" s="201" t="str">
        <f ca="1">_xlfn.LET(
  _xlpm.overDays, SUM(INDIRECT("N2"):N135),
  _xlpm.overHours, IF(_xlpm.overDays &gt; 0, _xlpm.overDays / 24, _xlpm.overDays / -24),
  _xlpm.text, TEXT(_xlpm.overHours, "hh:mm"),
  IF(_xlpm.overDays&gt;0,"","-") &amp; _xlpm.text
)</f>
        <v>09:00</v>
      </c>
      <c r="R1" s="195"/>
    </row>
    <row r="2" spans="1:18" x14ac:dyDescent="0.25">
      <c r="A2" s="36">
        <v>46187</v>
      </c>
      <c r="B2" s="198">
        <f t="shared" ref="B2:B5" si="0">WEEKDAY(A2,2)</f>
        <v>7</v>
      </c>
      <c r="C2" t="str">
        <f t="shared" ref="C2:C5" si="1">IF(B2=1,"Mo",IF(B2=2,"Di",IF(B2=3,"Mi",IF(B2=4,"Do",IF(B2=5,"Fr",IF(B2=6,"Sa",IF(B2=7,"So","")))))))</f>
        <v>So</v>
      </c>
      <c r="F2" s="193" t="b">
        <f>AND(NOT(ISBLANK(D2)),NOT(ISBLANK(E2)))</f>
        <v>0</v>
      </c>
      <c r="G2" s="193" t="str">
        <f t="shared" ref="G2:G3" si="2">IF(F2,IF(H2&lt;TIME(6,0,0),"",IF(H2&lt;=TIME(6,30,0),H2-TIME(6,0,0),IF(H2&lt;=TIME(9,45,0),TIME(0,30,0)+MAX(0,H2-TIME(9,30,0)),TIME(0,45,0)))),"")</f>
        <v/>
      </c>
      <c r="H2" s="193" t="str">
        <f>IF(F2,E2-D2,"")</f>
        <v/>
      </c>
      <c r="I2" s="193" t="str">
        <f t="shared" ref="I2:I8" si="3">IF(F2,H2-G2,"")</f>
        <v/>
      </c>
      <c r="J2" s="23">
        <f t="shared" ref="J2:J5" si="4">IF(B2&lt;5,((0.5+8.5+(D2*24))/24),IF(B2=5,((6+(D2*24))/24),))</f>
        <v>0</v>
      </c>
      <c r="K2" s="199" t="str">
        <f t="shared" ref="K2:K4" si="5">IF(F2,IF(B2=5,(I2-6/24)*24,(I2-8.5/24)*24),"")</f>
        <v/>
      </c>
      <c r="N2" s="197">
        <f t="shared" ref="N2:N8" si="6">IF(B2=7,(SUM(K2:K8)),"")</f>
        <v>-2.9999999999999987</v>
      </c>
      <c r="P2" s="207"/>
      <c r="Q2" s="207"/>
      <c r="R2" s="195"/>
    </row>
    <row r="3" spans="1:18" x14ac:dyDescent="0.25">
      <c r="A3" s="36">
        <v>46186</v>
      </c>
      <c r="B3" s="198">
        <f t="shared" si="0"/>
        <v>6</v>
      </c>
      <c r="C3" t="str">
        <f t="shared" si="1"/>
        <v>Sa</v>
      </c>
      <c r="F3" s="193" t="b">
        <f t="shared" ref="F3:F8" si="7">AND(NOT(ISBLANK(D3)),NOT(ISBLANK(E3)))</f>
        <v>0</v>
      </c>
      <c r="G3" s="193" t="str">
        <f t="shared" si="2"/>
        <v/>
      </c>
      <c r="H3" s="193" t="str">
        <f t="shared" ref="H3:H8" si="8">IF(F3,E3-D3,"")</f>
        <v/>
      </c>
      <c r="I3" s="193" t="str">
        <f t="shared" si="3"/>
        <v/>
      </c>
      <c r="J3" s="23">
        <f t="shared" si="4"/>
        <v>0</v>
      </c>
      <c r="K3" s="199" t="str">
        <f t="shared" si="5"/>
        <v/>
      </c>
      <c r="N3" s="197" t="str">
        <f t="shared" si="6"/>
        <v/>
      </c>
      <c r="P3" s="207"/>
      <c r="Q3" s="207"/>
      <c r="R3" s="195"/>
    </row>
    <row r="4" spans="1:18" x14ac:dyDescent="0.25">
      <c r="A4" s="36">
        <v>46185</v>
      </c>
      <c r="B4" s="198">
        <f t="shared" si="0"/>
        <v>5</v>
      </c>
      <c r="C4" t="str">
        <f t="shared" si="1"/>
        <v>Fr</v>
      </c>
      <c r="F4" s="193" t="b">
        <f t="shared" si="7"/>
        <v>0</v>
      </c>
      <c r="G4" s="193" t="str">
        <f>IF(F4,IF(H4&lt;TIME(6,0,0),0,IF(H4&lt;=TIME(6,30,0),H4-TIME(6,0,0),IF(H4&lt;=TIME(9,45,0),TIME(0,30,0)+MAX(0,H4-TIME(9,30,0)),TIME(0,45,0)))),"")</f>
        <v/>
      </c>
      <c r="H4" s="193" t="str">
        <f t="shared" si="8"/>
        <v/>
      </c>
      <c r="I4" s="193" t="str">
        <f t="shared" si="3"/>
        <v/>
      </c>
      <c r="J4" s="23">
        <f t="shared" si="4"/>
        <v>0.25</v>
      </c>
      <c r="K4" s="199" t="str">
        <f t="shared" si="5"/>
        <v/>
      </c>
      <c r="M4" s="213" t="s">
        <v>277</v>
      </c>
      <c r="N4" s="197" t="str">
        <f t="shared" si="6"/>
        <v/>
      </c>
      <c r="P4" s="207"/>
      <c r="Q4" s="207"/>
      <c r="R4" s="195"/>
    </row>
    <row r="5" spans="1:18" x14ac:dyDescent="0.25">
      <c r="A5" s="36">
        <v>46184</v>
      </c>
      <c r="B5" s="198">
        <f t="shared" si="0"/>
        <v>4</v>
      </c>
      <c r="C5" t="str">
        <f t="shared" si="1"/>
        <v>Do</v>
      </c>
      <c r="E5" s="194"/>
      <c r="F5" s="193" t="b">
        <f t="shared" si="7"/>
        <v>0</v>
      </c>
      <c r="G5" s="193" t="str">
        <f t="shared" ref="G5:G8" si="9">IF(F5,IF(H5&lt;TIME(6,0,0),0,IF(H5&lt;=TIME(6,30,0),H5-TIME(6,0,0),IF(H5&lt;=TIME(9,45,0),TIME(0,30,0)+MAX(0,H5-TIME(9,30,0)),TIME(0,45,0)))),"")</f>
        <v/>
      </c>
      <c r="H5" s="193" t="str">
        <f t="shared" si="8"/>
        <v/>
      </c>
      <c r="I5" s="193" t="str">
        <f t="shared" si="3"/>
        <v/>
      </c>
      <c r="J5" s="23">
        <f t="shared" si="4"/>
        <v>0.375</v>
      </c>
      <c r="K5" s="199" t="str">
        <f>IF(F5,IF(B5=5,(I5-6/24)*24,(I5-8.5/24)*24),"")</f>
        <v/>
      </c>
      <c r="N5" s="197" t="str">
        <f t="shared" si="6"/>
        <v/>
      </c>
      <c r="P5" s="207"/>
      <c r="Q5" s="207"/>
      <c r="R5" s="195"/>
    </row>
    <row r="6" spans="1:18" x14ac:dyDescent="0.25">
      <c r="A6" s="36">
        <v>46183</v>
      </c>
      <c r="B6" s="198">
        <f>WEEKDAY(A6,2)</f>
        <v>3</v>
      </c>
      <c r="C6" t="str">
        <f>IF(B6=1,"Mo",IF(B6=2,"Di",IF(B6=3,"Mi",IF(B6=4,"Do",IF(B6=5,"Fr",IF(B6=6,"Sa",IF(B6=7,"So","")))))))</f>
        <v>Mi</v>
      </c>
      <c r="D6" s="193">
        <v>0.27083333333333331</v>
      </c>
      <c r="E6" s="194">
        <v>0.67708333333333337</v>
      </c>
      <c r="F6" s="193" t="b">
        <f t="shared" si="7"/>
        <v>1</v>
      </c>
      <c r="G6" s="193">
        <f t="shared" si="9"/>
        <v>3.1250000000000069E-2</v>
      </c>
      <c r="H6" s="193">
        <f t="shared" si="8"/>
        <v>0.40625000000000006</v>
      </c>
      <c r="I6" s="193">
        <f t="shared" si="3"/>
        <v>0.375</v>
      </c>
      <c r="J6" s="23">
        <f>IF(B6&lt;5,((0.5+8.5+(D6*24))/24),IF(B6=5,((6+(D6*24))/24),))</f>
        <v>0.64583333333333337</v>
      </c>
      <c r="K6" s="199">
        <f>IF(F6,IF(B6=5,(I6-6/24)*24,(I6-8.5/24)*24),"")</f>
        <v>0.49999999999999956</v>
      </c>
      <c r="M6" s="212" t="s">
        <v>277</v>
      </c>
      <c r="N6" s="197" t="str">
        <f t="shared" si="6"/>
        <v/>
      </c>
      <c r="P6" s="207"/>
      <c r="Q6" s="207"/>
      <c r="R6" s="195"/>
    </row>
    <row r="7" spans="1:18" x14ac:dyDescent="0.25">
      <c r="A7" s="36">
        <v>46182</v>
      </c>
      <c r="B7" s="198">
        <f t="shared" ref="B7:B8" si="10">WEEKDAY(A7,2)</f>
        <v>2</v>
      </c>
      <c r="C7" t="str">
        <f t="shared" ref="C7:C8" si="11">IF(B7=1,"Mo",IF(B7=2,"Di",IF(B7=3,"Mi",IF(B7=4,"Do",IF(B7=5,"Fr",IF(B7=6,"Sa",IF(B7=7,"So","")))))))</f>
        <v>Di</v>
      </c>
      <c r="D7" s="193">
        <v>0.32291666666666669</v>
      </c>
      <c r="E7" s="194">
        <v>0.61458333333333337</v>
      </c>
      <c r="F7" s="193" t="b">
        <f t="shared" si="7"/>
        <v>1</v>
      </c>
      <c r="G7" s="193">
        <f t="shared" si="9"/>
        <v>2.0833333333333332E-2</v>
      </c>
      <c r="H7" s="193">
        <f t="shared" si="8"/>
        <v>0.29166666666666669</v>
      </c>
      <c r="I7" s="193">
        <f t="shared" si="3"/>
        <v>0.27083333333333337</v>
      </c>
      <c r="J7" s="23">
        <f t="shared" ref="J7:J8" si="12">IF(B7&lt;5,((0.5+8.5+(D7*24))/24),IF(B7=5,((6+(D7*24))/24),))</f>
        <v>0.69791666666666663</v>
      </c>
      <c r="K7" s="199">
        <f t="shared" ref="K7:K8" si="13">IF(F7,IF(B7=5,(I7-6/24)*24,(I7-8.5/24)*24),"")</f>
        <v>-1.9999999999999996</v>
      </c>
      <c r="N7" s="197" t="str">
        <f t="shared" si="6"/>
        <v/>
      </c>
      <c r="P7" s="207"/>
      <c r="Q7" s="207"/>
      <c r="R7" s="195"/>
    </row>
    <row r="8" spans="1:18" x14ac:dyDescent="0.25">
      <c r="A8" s="36">
        <v>46181</v>
      </c>
      <c r="B8" s="198">
        <f t="shared" si="10"/>
        <v>1</v>
      </c>
      <c r="C8" t="str">
        <f t="shared" si="11"/>
        <v>Mo</v>
      </c>
      <c r="D8" s="193">
        <v>0.36458333333333331</v>
      </c>
      <c r="E8" s="194">
        <v>0.67708333333333337</v>
      </c>
      <c r="F8" s="193" t="b">
        <f t="shared" si="7"/>
        <v>1</v>
      </c>
      <c r="G8" s="193">
        <f t="shared" si="9"/>
        <v>2.0833333333333332E-2</v>
      </c>
      <c r="H8" s="193">
        <f t="shared" si="8"/>
        <v>0.31250000000000006</v>
      </c>
      <c r="I8" s="193">
        <f t="shared" si="3"/>
        <v>0.29166666666666674</v>
      </c>
      <c r="J8" s="23">
        <f t="shared" si="12"/>
        <v>0.73958333333333337</v>
      </c>
      <c r="K8" s="199">
        <f t="shared" si="13"/>
        <v>-1.4999999999999987</v>
      </c>
      <c r="N8" s="197" t="str">
        <f t="shared" si="6"/>
        <v/>
      </c>
      <c r="P8" s="207"/>
      <c r="Q8" s="207"/>
      <c r="R8" s="195"/>
    </row>
    <row r="9" spans="1:18" x14ac:dyDescent="0.25">
      <c r="A9" s="36">
        <v>46180</v>
      </c>
      <c r="B9" s="198">
        <f t="shared" ref="B9:B12" si="14">WEEKDAY(A9,2)</f>
        <v>7</v>
      </c>
      <c r="C9" t="str">
        <f t="shared" ref="C9:C12" si="15">IF(B9=1,"Mo",IF(B9=2,"Di",IF(B9=3,"Mi",IF(B9=4,"Do",IF(B9=5,"Fr",IF(B9=6,"Sa",IF(B9=7,"So","")))))))</f>
        <v>So</v>
      </c>
      <c r="F9" s="193" t="b">
        <f>AND(NOT(ISBLANK(D9)),NOT(ISBLANK(E9)))</f>
        <v>0</v>
      </c>
      <c r="G9" s="193" t="str">
        <f t="shared" ref="G9:G10" si="16">IF(F9,IF(H9&lt;TIME(6,0,0),"",IF(H9&lt;=TIME(6,30,0),H9-TIME(6,0,0),IF(H9&lt;=TIME(9,45,0),TIME(0,30,0)+MAX(0,H9-TIME(9,30,0)),TIME(0,45,0)))),"")</f>
        <v/>
      </c>
      <c r="H9" s="193" t="str">
        <f>IF(F9,E9-D9,"")</f>
        <v/>
      </c>
      <c r="I9" s="193" t="str">
        <f t="shared" ref="I9:I15" si="17">IF(F9,H9-G9,"")</f>
        <v/>
      </c>
      <c r="J9" s="23">
        <f t="shared" ref="J9:J12" si="18">IF(B9&lt;5,((0.5+8.5+(D9*24))/24),IF(B9=5,((6+(D9*24))/24),))</f>
        <v>0</v>
      </c>
      <c r="K9" s="199" t="str">
        <f t="shared" ref="K9:K11" si="19">IF(F9,IF(B9=5,(I9-6/24)*24,(I9-8.5/24)*24),"")</f>
        <v/>
      </c>
      <c r="N9" s="197">
        <f t="shared" ref="N9:N15" si="20">IF(B9=7,(SUM(K9:K15)),"")</f>
        <v>0.49999999999999956</v>
      </c>
      <c r="P9" s="207"/>
      <c r="Q9" s="207"/>
      <c r="R9" s="195"/>
    </row>
    <row r="10" spans="1:18" x14ac:dyDescent="0.25">
      <c r="A10" s="36">
        <v>46179</v>
      </c>
      <c r="B10" s="198">
        <f t="shared" si="14"/>
        <v>6</v>
      </c>
      <c r="C10" t="str">
        <f t="shared" si="15"/>
        <v>Sa</v>
      </c>
      <c r="F10" s="193" t="b">
        <f t="shared" ref="F10:F15" si="21">AND(NOT(ISBLANK(D10)),NOT(ISBLANK(E10)))</f>
        <v>0</v>
      </c>
      <c r="G10" s="193" t="str">
        <f t="shared" si="16"/>
        <v/>
      </c>
      <c r="H10" s="193" t="str">
        <f t="shared" ref="H10:H15" si="22">IF(F10,E10-D10,"")</f>
        <v/>
      </c>
      <c r="I10" s="193" t="str">
        <f t="shared" si="17"/>
        <v/>
      </c>
      <c r="J10" s="23">
        <f t="shared" si="18"/>
        <v>0</v>
      </c>
      <c r="K10" s="199" t="str">
        <f t="shared" si="19"/>
        <v/>
      </c>
      <c r="N10" s="197" t="str">
        <f t="shared" si="20"/>
        <v/>
      </c>
      <c r="P10" s="207"/>
      <c r="Q10" s="207"/>
      <c r="R10" s="195"/>
    </row>
    <row r="11" spans="1:18" x14ac:dyDescent="0.25">
      <c r="A11" s="36">
        <v>46178</v>
      </c>
      <c r="B11" s="198">
        <f t="shared" si="14"/>
        <v>5</v>
      </c>
      <c r="C11" t="str">
        <f t="shared" si="15"/>
        <v>Fr</v>
      </c>
      <c r="D11" s="193">
        <v>0.29166666666666669</v>
      </c>
      <c r="E11" s="193">
        <v>0.5</v>
      </c>
      <c r="F11" s="193" t="b">
        <f t="shared" si="21"/>
        <v>1</v>
      </c>
      <c r="G11" s="193">
        <f>IF(F11,IF(H11&lt;TIME(6,0,0),0,IF(H11&lt;=TIME(6,30,0),H11-TIME(6,0,0),IF(H11&lt;=TIME(9,45,0),TIME(0,30,0)+MAX(0,H11-TIME(9,30,0)),TIME(0,45,0)))),"")</f>
        <v>0</v>
      </c>
      <c r="H11" s="193">
        <f t="shared" si="22"/>
        <v>0.20833333333333331</v>
      </c>
      <c r="I11" s="193">
        <f t="shared" si="17"/>
        <v>0.20833333333333331</v>
      </c>
      <c r="J11" s="23">
        <f t="shared" si="18"/>
        <v>0.54166666666666663</v>
      </c>
      <c r="K11" s="199">
        <f t="shared" si="19"/>
        <v>-1.0000000000000004</v>
      </c>
      <c r="N11" s="197" t="str">
        <f t="shared" si="20"/>
        <v/>
      </c>
      <c r="P11" s="207"/>
      <c r="Q11" s="207"/>
      <c r="R11" s="195"/>
    </row>
    <row r="12" spans="1:18" x14ac:dyDescent="0.25">
      <c r="A12" s="36">
        <v>46177</v>
      </c>
      <c r="B12" s="198">
        <f t="shared" si="14"/>
        <v>4</v>
      </c>
      <c r="C12" t="str">
        <f t="shared" si="15"/>
        <v>Do</v>
      </c>
      <c r="E12" s="194"/>
      <c r="F12" s="193" t="b">
        <f t="shared" si="21"/>
        <v>0</v>
      </c>
      <c r="G12" s="193" t="str">
        <f t="shared" ref="G12:G29" si="23">IF(F12,IF(H12&lt;TIME(6,0,0),0,IF(H12&lt;=TIME(6,30,0),H12-TIME(6,0,0),IF(H12&lt;=TIME(9,45,0),TIME(0,30,0)+MAX(0,H12-TIME(9,30,0)),TIME(0,45,0)))),"")</f>
        <v/>
      </c>
      <c r="H12" s="193" t="str">
        <f t="shared" si="22"/>
        <v/>
      </c>
      <c r="I12" s="193" t="str">
        <f t="shared" si="17"/>
        <v/>
      </c>
      <c r="J12" s="23">
        <f t="shared" si="18"/>
        <v>0.375</v>
      </c>
      <c r="K12" s="199" t="str">
        <f>IF(F12,IF(B12=5,(I12-6/24)*24,(I12-8.5/24)*24),"")</f>
        <v/>
      </c>
      <c r="L12" t="s">
        <v>25</v>
      </c>
      <c r="N12" s="197" t="str">
        <f t="shared" si="20"/>
        <v/>
      </c>
      <c r="P12" s="207"/>
      <c r="Q12" s="207"/>
      <c r="R12" s="195"/>
    </row>
    <row r="13" spans="1:18" x14ac:dyDescent="0.25">
      <c r="A13" s="36">
        <v>46176</v>
      </c>
      <c r="B13" s="198">
        <f>WEEKDAY(A13,2)</f>
        <v>3</v>
      </c>
      <c r="C13" t="str">
        <f>IF(B13=1,"Mo",IF(B13=2,"Di",IF(B13=3,"Mi",IF(B13=4,"Do",IF(B13=5,"Fr",IF(B13=6,"Sa",IF(B13=7,"So","")))))))</f>
        <v>Mi</v>
      </c>
      <c r="D13" s="193">
        <v>0.27083333333333331</v>
      </c>
      <c r="E13" s="194">
        <v>0.6875</v>
      </c>
      <c r="F13" s="193" t="b">
        <f t="shared" si="21"/>
        <v>1</v>
      </c>
      <c r="G13" s="193">
        <v>3.125E-2</v>
      </c>
      <c r="H13" s="193">
        <f t="shared" si="22"/>
        <v>0.41666666666666669</v>
      </c>
      <c r="I13" s="193">
        <f t="shared" si="17"/>
        <v>0.38541666666666669</v>
      </c>
      <c r="J13" s="23">
        <f>IF(B13&lt;5,((0.5+8.5+(D13*24))/24),IF(B13=5,((6+(D13*24))/24),))</f>
        <v>0.64583333333333337</v>
      </c>
      <c r="K13" s="199">
        <f>IF(F13,IF(B13=5,(I13-6/24)*24,(I13-8.5/24)*24),"")</f>
        <v>0.75</v>
      </c>
      <c r="M13" s="212" t="s">
        <v>277</v>
      </c>
      <c r="N13" s="197" t="str">
        <f t="shared" si="20"/>
        <v/>
      </c>
      <c r="P13" s="207"/>
      <c r="Q13" s="207"/>
      <c r="R13" s="195"/>
    </row>
    <row r="14" spans="1:18" x14ac:dyDescent="0.25">
      <c r="A14" s="36">
        <v>46175</v>
      </c>
      <c r="B14" s="198">
        <f t="shared" ref="B14:B15" si="24">WEEKDAY(A14,2)</f>
        <v>2</v>
      </c>
      <c r="C14" t="str">
        <f t="shared" ref="C14:C15" si="25">IF(B14=1,"Mo",IF(B14=2,"Di",IF(B14=3,"Mi",IF(B14=4,"Do",IF(B14=5,"Fr",IF(B14=6,"Sa",IF(B14=7,"So","")))))))</f>
        <v>Di</v>
      </c>
      <c r="D14" s="193">
        <v>0.35416666666666669</v>
      </c>
      <c r="E14" s="194">
        <v>0.75</v>
      </c>
      <c r="F14" s="193" t="b">
        <f t="shared" si="21"/>
        <v>1</v>
      </c>
      <c r="G14" s="193">
        <f t="shared" si="23"/>
        <v>2.0833333333333332E-2</v>
      </c>
      <c r="H14" s="193">
        <f t="shared" si="22"/>
        <v>0.39583333333333331</v>
      </c>
      <c r="I14" s="193">
        <f t="shared" si="17"/>
        <v>0.375</v>
      </c>
      <c r="J14" s="23">
        <f t="shared" ref="J14:J15" si="26">IF(B14&lt;5,((0.5+8.5+(D14*24))/24),IF(B14=5,((6+(D14*24))/24),))</f>
        <v>0.72916666666666663</v>
      </c>
      <c r="K14" s="199">
        <f t="shared" ref="K14:K15" si="27">IF(F14,IF(B14=5,(I14-6/24)*24,(I14-8.5/24)*24),"")</f>
        <v>0.49999999999999956</v>
      </c>
      <c r="N14" s="197" t="str">
        <f t="shared" si="20"/>
        <v/>
      </c>
      <c r="P14" s="207"/>
      <c r="Q14" s="207"/>
      <c r="R14" s="195"/>
    </row>
    <row r="15" spans="1:18" x14ac:dyDescent="0.25">
      <c r="A15" s="36">
        <v>46174</v>
      </c>
      <c r="B15" s="198">
        <f t="shared" si="24"/>
        <v>1</v>
      </c>
      <c r="C15" t="str">
        <f t="shared" si="25"/>
        <v>Mo</v>
      </c>
      <c r="D15" s="193">
        <v>0.35416666666666669</v>
      </c>
      <c r="E15" s="194">
        <v>0.73958333333333337</v>
      </c>
      <c r="F15" s="193" t="b">
        <f t="shared" si="21"/>
        <v>1</v>
      </c>
      <c r="G15" s="193">
        <f t="shared" si="23"/>
        <v>2.0833333333333332E-2</v>
      </c>
      <c r="H15" s="193">
        <f t="shared" si="22"/>
        <v>0.38541666666666669</v>
      </c>
      <c r="I15" s="193">
        <f t="shared" si="17"/>
        <v>0.36458333333333337</v>
      </c>
      <c r="J15" s="23">
        <f t="shared" si="26"/>
        <v>0.72916666666666663</v>
      </c>
      <c r="K15" s="199">
        <f t="shared" si="27"/>
        <v>0.25000000000000044</v>
      </c>
      <c r="N15" s="197" t="str">
        <f t="shared" si="20"/>
        <v/>
      </c>
      <c r="P15" s="207"/>
      <c r="Q15" s="207"/>
      <c r="R15" s="195"/>
    </row>
    <row r="16" spans="1:18" x14ac:dyDescent="0.25">
      <c r="A16" s="36">
        <v>46173</v>
      </c>
      <c r="B16" s="198">
        <f t="shared" ref="B16:B19" si="28">WEEKDAY(A16,2)</f>
        <v>7</v>
      </c>
      <c r="C16" t="str">
        <f t="shared" ref="C16:C19" si="29">IF(B16=1,"Mo",IF(B16=2,"Di",IF(B16=3,"Mi",IF(B16=4,"Do",IF(B16=5,"Fr",IF(B16=6,"Sa",IF(B16=7,"So","")))))))</f>
        <v>So</v>
      </c>
      <c r="F16" s="193" t="b">
        <f>AND(NOT(ISBLANK(D16)),NOT(ISBLANK(E16)))</f>
        <v>0</v>
      </c>
      <c r="G16" s="193" t="str">
        <f t="shared" si="23"/>
        <v/>
      </c>
      <c r="H16" s="193" t="str">
        <f>IF(F16,E16-D16,"")</f>
        <v/>
      </c>
      <c r="I16" s="193" t="str">
        <f t="shared" ref="I16:I35" si="30">IF(F16,H16-G16,"")</f>
        <v/>
      </c>
      <c r="J16" s="23">
        <f t="shared" ref="J16:J19" si="31">IF(B16&lt;5,((0.5+8.5+(D16*24))/24),IF(B16=5,((6+(D16*24))/24),))</f>
        <v>0</v>
      </c>
      <c r="K16" s="199" t="str">
        <f t="shared" ref="K16:K18" si="32">IF(F16,IF(B16=5,(I16-6/24)*24,(I16-8.5/24)*24),"")</f>
        <v/>
      </c>
      <c r="N16" s="197">
        <f t="shared" ref="N16:N22" si="33">IF(B16=7,(SUM(K16:K22)),"")</f>
        <v>-2.5000000000000031</v>
      </c>
      <c r="P16" s="202"/>
      <c r="Q16" s="202"/>
    </row>
    <row r="17" spans="1:33" x14ac:dyDescent="0.25">
      <c r="A17" s="36">
        <v>46172</v>
      </c>
      <c r="B17" s="198">
        <f t="shared" si="28"/>
        <v>6</v>
      </c>
      <c r="C17" t="str">
        <f t="shared" si="29"/>
        <v>Sa</v>
      </c>
      <c r="F17" s="193" t="b">
        <f t="shared" ref="F17:F22" si="34">AND(NOT(ISBLANK(D17)),NOT(ISBLANK(E17)))</f>
        <v>0</v>
      </c>
      <c r="G17" s="193" t="str">
        <f t="shared" si="23"/>
        <v/>
      </c>
      <c r="H17" s="193" t="str">
        <f t="shared" ref="H17:H22" si="35">IF(F17,E17-D17,"")</f>
        <v/>
      </c>
      <c r="I17" s="193" t="str">
        <f t="shared" si="30"/>
        <v/>
      </c>
      <c r="J17" s="23">
        <f t="shared" si="31"/>
        <v>0</v>
      </c>
      <c r="K17" s="199" t="str">
        <f t="shared" si="32"/>
        <v/>
      </c>
      <c r="N17" s="197" t="str">
        <f t="shared" si="33"/>
        <v/>
      </c>
      <c r="P17" s="202"/>
      <c r="Q17" s="202"/>
    </row>
    <row r="18" spans="1:33" x14ac:dyDescent="0.25">
      <c r="A18" s="36">
        <v>46171</v>
      </c>
      <c r="B18" s="198">
        <f t="shared" si="28"/>
        <v>5</v>
      </c>
      <c r="C18" t="str">
        <f t="shared" si="29"/>
        <v>Fr</v>
      </c>
      <c r="D18" s="193">
        <v>0.28125</v>
      </c>
      <c r="E18" s="193">
        <v>0.45833333333333331</v>
      </c>
      <c r="F18" s="193" t="b">
        <f t="shared" si="34"/>
        <v>1</v>
      </c>
      <c r="G18" s="193">
        <f t="shared" si="23"/>
        <v>0</v>
      </c>
      <c r="H18" s="193">
        <f t="shared" si="35"/>
        <v>0.17708333333333331</v>
      </c>
      <c r="I18" s="193">
        <f t="shared" si="30"/>
        <v>0.17708333333333331</v>
      </c>
      <c r="J18" s="23">
        <f t="shared" si="31"/>
        <v>0.53125</v>
      </c>
      <c r="K18" s="199">
        <f t="shared" si="32"/>
        <v>-1.7500000000000004</v>
      </c>
      <c r="M18" s="212" t="s">
        <v>277</v>
      </c>
      <c r="N18" s="197" t="str">
        <f t="shared" si="33"/>
        <v/>
      </c>
      <c r="P18" s="202"/>
      <c r="Q18" s="202"/>
    </row>
    <row r="19" spans="1:33" x14ac:dyDescent="0.25">
      <c r="A19" s="36">
        <v>46170</v>
      </c>
      <c r="B19" s="198">
        <f t="shared" si="28"/>
        <v>4</v>
      </c>
      <c r="C19" t="str">
        <f t="shared" si="29"/>
        <v>Do</v>
      </c>
      <c r="D19" s="193">
        <v>0.35416666666666669</v>
      </c>
      <c r="E19" s="194">
        <v>0.72916666666666663</v>
      </c>
      <c r="F19" s="193" t="b">
        <f t="shared" si="34"/>
        <v>1</v>
      </c>
      <c r="G19" s="193">
        <f t="shared" si="23"/>
        <v>2.0833333333333332E-2</v>
      </c>
      <c r="H19" s="193">
        <f t="shared" si="35"/>
        <v>0.37499999999999994</v>
      </c>
      <c r="I19" s="193">
        <f t="shared" si="30"/>
        <v>0.35416666666666663</v>
      </c>
      <c r="J19" s="23">
        <f t="shared" si="31"/>
        <v>0.72916666666666663</v>
      </c>
      <c r="K19" s="199">
        <f>IF(F19,IF(B19=5,(I19-6/24)*24,(I19-8.5/24)*24),"")</f>
        <v>-1.3322676295501878E-15</v>
      </c>
      <c r="N19" s="197" t="str">
        <f t="shared" si="33"/>
        <v/>
      </c>
      <c r="P19" s="202"/>
      <c r="Q19" s="202"/>
    </row>
    <row r="20" spans="1:33" x14ac:dyDescent="0.25">
      <c r="A20" s="36">
        <v>46169</v>
      </c>
      <c r="B20" s="198">
        <f>WEEKDAY(A20,2)</f>
        <v>3</v>
      </c>
      <c r="C20" t="str">
        <f>IF(B20=1,"Mo",IF(B20=2,"Di",IF(B20=3,"Mi",IF(B20=4,"Do",IF(B20=5,"Fr",IF(B20=6,"Sa",IF(B20=7,"So","")))))))</f>
        <v>Mi</v>
      </c>
      <c r="D20" s="193">
        <v>0.35416666666666669</v>
      </c>
      <c r="E20" s="194">
        <v>0.69791666666666663</v>
      </c>
      <c r="F20" s="193" t="b">
        <f t="shared" si="34"/>
        <v>1</v>
      </c>
      <c r="G20" s="193">
        <f t="shared" si="23"/>
        <v>2.0833333333333332E-2</v>
      </c>
      <c r="H20" s="193">
        <f t="shared" si="35"/>
        <v>0.34374999999999994</v>
      </c>
      <c r="I20" s="193">
        <f t="shared" si="30"/>
        <v>0.32291666666666663</v>
      </c>
      <c r="J20" s="23">
        <f>IF(B20&lt;5,((0.5+8.5+(D20*24))/24),IF(B20=5,((6+(D20*24))/24),))</f>
        <v>0.72916666666666663</v>
      </c>
      <c r="K20" s="199">
        <f>IF(F20,IF(B20=5,(I20-6/24)*24,(I20-8.5/24)*24),"")</f>
        <v>-0.75000000000000133</v>
      </c>
      <c r="N20" s="197" t="str">
        <f t="shared" si="33"/>
        <v/>
      </c>
      <c r="P20" s="202"/>
      <c r="Q20" s="202"/>
    </row>
    <row r="21" spans="1:33" x14ac:dyDescent="0.25">
      <c r="A21" s="36">
        <v>46168</v>
      </c>
      <c r="B21" s="198">
        <f t="shared" ref="B21:B22" si="36">WEEKDAY(A21,2)</f>
        <v>2</v>
      </c>
      <c r="C21" t="str">
        <f t="shared" ref="C21:C22" si="37">IF(B21=1,"Mo",IF(B21=2,"Di",IF(B21=3,"Mi",IF(B21=4,"Do",IF(B21=5,"Fr",IF(B21=6,"Sa",IF(B21=7,"So","")))))))</f>
        <v>Di</v>
      </c>
      <c r="E21" s="194"/>
      <c r="F21" s="193" t="b">
        <f t="shared" si="34"/>
        <v>0</v>
      </c>
      <c r="G21" s="193" t="str">
        <f t="shared" si="23"/>
        <v/>
      </c>
      <c r="H21" s="193" t="str">
        <f t="shared" si="35"/>
        <v/>
      </c>
      <c r="I21" s="193" t="str">
        <f t="shared" si="30"/>
        <v/>
      </c>
      <c r="J21" s="23">
        <f t="shared" ref="J21:J22" si="38">IF(B21&lt;5,((0.5+8.5+(D21*24))/24),IF(B21=5,((6+(D21*24))/24),))</f>
        <v>0.375</v>
      </c>
      <c r="K21" s="199" t="str">
        <f t="shared" ref="K21:K22" si="39">IF(F21,IF(B21=5,(I21-6/24)*24,(I21-8.5/24)*24),"")</f>
        <v/>
      </c>
      <c r="L21" t="s">
        <v>29</v>
      </c>
      <c r="N21" s="197" t="str">
        <f t="shared" si="33"/>
        <v/>
      </c>
      <c r="P21" s="202"/>
      <c r="Q21" s="202"/>
    </row>
    <row r="22" spans="1:33" x14ac:dyDescent="0.25">
      <c r="A22" s="36">
        <v>46167</v>
      </c>
      <c r="B22" s="198">
        <f t="shared" si="36"/>
        <v>1</v>
      </c>
      <c r="C22" t="str">
        <f t="shared" si="37"/>
        <v>Mo</v>
      </c>
      <c r="E22" s="194"/>
      <c r="F22" s="193" t="b">
        <f t="shared" si="34"/>
        <v>0</v>
      </c>
      <c r="G22" s="193" t="str">
        <f t="shared" si="23"/>
        <v/>
      </c>
      <c r="H22" s="193" t="str">
        <f t="shared" si="35"/>
        <v/>
      </c>
      <c r="I22" s="193" t="str">
        <f t="shared" si="30"/>
        <v/>
      </c>
      <c r="J22" s="23">
        <f t="shared" si="38"/>
        <v>0.375</v>
      </c>
      <c r="K22" s="199" t="str">
        <f t="shared" si="39"/>
        <v/>
      </c>
      <c r="L22" t="s">
        <v>25</v>
      </c>
      <c r="N22" s="197" t="str">
        <f t="shared" si="33"/>
        <v/>
      </c>
      <c r="P22" s="202"/>
      <c r="Q22" s="202"/>
    </row>
    <row r="23" spans="1:33" x14ac:dyDescent="0.25">
      <c r="A23" s="36">
        <v>46166</v>
      </c>
      <c r="B23" s="198">
        <f t="shared" ref="B23:B26" si="40">WEEKDAY(A23,2)</f>
        <v>7</v>
      </c>
      <c r="C23" t="str">
        <f t="shared" ref="C23:C26" si="41">IF(B23=1,"Mo",IF(B23=2,"Di",IF(B23=3,"Mi",IF(B23=4,"Do",IF(B23=5,"Fr",IF(B23=6,"Sa",IF(B23=7,"So","")))))))</f>
        <v>So</v>
      </c>
      <c r="F23" s="193" t="b">
        <f>AND(NOT(ISBLANK(D23)),NOT(ISBLANK(E23)))</f>
        <v>0</v>
      </c>
      <c r="G23" s="193" t="str">
        <f t="shared" si="23"/>
        <v/>
      </c>
      <c r="H23" s="193" t="str">
        <f>IF(F23,E23-D23,"")</f>
        <v/>
      </c>
      <c r="I23" s="193" t="str">
        <f t="shared" si="30"/>
        <v/>
      </c>
      <c r="J23" s="23">
        <f t="shared" ref="J23:J26" si="42">IF(B23&lt;5,((0.5+8.5+(D23*24))/24),IF(B23=5,((6+(D23*24))/24),))</f>
        <v>0</v>
      </c>
      <c r="K23" s="199" t="str">
        <f t="shared" ref="K23:K25" si="43">IF(F23,IF(B23=5,(I23-6/24)*24,(I23-8.5/24)*24),"")</f>
        <v/>
      </c>
      <c r="N23" s="197">
        <f t="shared" ref="N23:N29" si="44">IF(B23=7,(SUM(K23:K29)),"")</f>
        <v>1.2499999999999982</v>
      </c>
      <c r="P23" s="202"/>
      <c r="Q23" s="202"/>
    </row>
    <row r="24" spans="1:33" x14ac:dyDescent="0.25">
      <c r="A24" s="36">
        <v>46165</v>
      </c>
      <c r="B24" s="198">
        <f t="shared" si="40"/>
        <v>6</v>
      </c>
      <c r="C24" t="str">
        <f t="shared" si="41"/>
        <v>Sa</v>
      </c>
      <c r="F24" s="193" t="b">
        <f t="shared" ref="F24:F29" si="45">AND(NOT(ISBLANK(D24)),NOT(ISBLANK(E24)))</f>
        <v>0</v>
      </c>
      <c r="G24" s="193" t="str">
        <f t="shared" si="23"/>
        <v/>
      </c>
      <c r="H24" s="193" t="str">
        <f t="shared" ref="H24:H29" si="46">IF(F24,E24-D24,"")</f>
        <v/>
      </c>
      <c r="I24" s="193" t="str">
        <f t="shared" si="30"/>
        <v/>
      </c>
      <c r="J24" s="23">
        <f t="shared" si="42"/>
        <v>0</v>
      </c>
      <c r="K24" s="199" t="str">
        <f t="shared" si="43"/>
        <v/>
      </c>
      <c r="N24" s="197" t="str">
        <f t="shared" si="44"/>
        <v/>
      </c>
      <c r="P24" s="202"/>
      <c r="Q24" s="202"/>
    </row>
    <row r="25" spans="1:33" x14ac:dyDescent="0.25">
      <c r="A25" s="36">
        <v>46164</v>
      </c>
      <c r="B25" s="198">
        <f t="shared" si="40"/>
        <v>5</v>
      </c>
      <c r="C25" t="str">
        <f t="shared" si="41"/>
        <v>Fr</v>
      </c>
      <c r="F25" s="193" t="b">
        <f t="shared" si="45"/>
        <v>0</v>
      </c>
      <c r="G25" s="193" t="str">
        <f t="shared" si="23"/>
        <v/>
      </c>
      <c r="H25" s="193" t="str">
        <f t="shared" si="46"/>
        <v/>
      </c>
      <c r="I25" s="193" t="str">
        <f t="shared" si="30"/>
        <v/>
      </c>
      <c r="J25" s="23">
        <f t="shared" si="42"/>
        <v>0.25</v>
      </c>
      <c r="K25" s="199" t="str">
        <f t="shared" si="43"/>
        <v/>
      </c>
      <c r="L25" t="s">
        <v>27</v>
      </c>
      <c r="N25" s="197" t="str">
        <f t="shared" si="44"/>
        <v/>
      </c>
      <c r="P25" s="202"/>
      <c r="Q25" s="202"/>
    </row>
    <row r="26" spans="1:33" x14ac:dyDescent="0.25">
      <c r="A26" s="36">
        <v>46163</v>
      </c>
      <c r="B26" s="198">
        <f t="shared" si="40"/>
        <v>4</v>
      </c>
      <c r="C26" t="str">
        <f t="shared" si="41"/>
        <v>Do</v>
      </c>
      <c r="E26" s="194"/>
      <c r="F26" s="193" t="b">
        <f t="shared" si="45"/>
        <v>0</v>
      </c>
      <c r="G26" s="193" t="str">
        <f t="shared" si="23"/>
        <v/>
      </c>
      <c r="H26" s="193" t="str">
        <f t="shared" si="46"/>
        <v/>
      </c>
      <c r="I26" s="193" t="str">
        <f t="shared" si="30"/>
        <v/>
      </c>
      <c r="J26" s="23">
        <f t="shared" si="42"/>
        <v>0.375</v>
      </c>
      <c r="K26" s="199" t="str">
        <f>IF(F26,IF(B26=5,(I26-6/24)*24,(I26-8.5/24)*24),"")</f>
        <v/>
      </c>
      <c r="L26" t="s">
        <v>27</v>
      </c>
      <c r="N26" s="197" t="str">
        <f t="shared" si="44"/>
        <v/>
      </c>
      <c r="P26" s="202"/>
      <c r="Q26" s="202"/>
    </row>
    <row r="27" spans="1:33" x14ac:dyDescent="0.25">
      <c r="A27" s="36">
        <v>46162</v>
      </c>
      <c r="B27" s="198">
        <f>WEEKDAY(A27,2)</f>
        <v>3</v>
      </c>
      <c r="C27" t="str">
        <f>IF(B27=1,"Mo",IF(B27=2,"Di",IF(B27=3,"Mi",IF(B27=4,"Do",IF(B27=5,"Fr",IF(B27=6,"Sa",IF(B27=7,"So","")))))))</f>
        <v>Mi</v>
      </c>
      <c r="E27" s="194"/>
      <c r="F27" s="193" t="b">
        <f t="shared" si="45"/>
        <v>0</v>
      </c>
      <c r="G27" s="193" t="str">
        <f t="shared" si="23"/>
        <v/>
      </c>
      <c r="H27" s="193" t="str">
        <f t="shared" si="46"/>
        <v/>
      </c>
      <c r="I27" s="193" t="str">
        <f t="shared" si="30"/>
        <v/>
      </c>
      <c r="J27" s="23">
        <f>IF(B27&lt;5,((0.5+8.5+(D27*24))/24),IF(B27=5,((6+(D27*24))/24),))</f>
        <v>0.375</v>
      </c>
      <c r="K27" s="199" t="str">
        <f>IF(F27,IF(B27=5,(I27-6/24)*24,(I27-8.5/24)*24),"")</f>
        <v/>
      </c>
      <c r="L27" t="s">
        <v>27</v>
      </c>
      <c r="N27" s="197" t="str">
        <f t="shared" si="44"/>
        <v/>
      </c>
      <c r="P27" s="202"/>
      <c r="Q27" s="202"/>
    </row>
    <row r="28" spans="1:33" x14ac:dyDescent="0.25">
      <c r="A28" s="36">
        <v>46161</v>
      </c>
      <c r="B28" s="198">
        <f t="shared" ref="B28:B29" si="47">WEEKDAY(A28,2)</f>
        <v>2</v>
      </c>
      <c r="C28" t="str">
        <f t="shared" ref="C28:C29" si="48">IF(B28=1,"Mo",IF(B28=2,"Di",IF(B28=3,"Mi",IF(B28=4,"Do",IF(B28=5,"Fr",IF(B28=6,"Sa",IF(B28=7,"So","")))))))</f>
        <v>Di</v>
      </c>
      <c r="D28" s="193">
        <v>0.25</v>
      </c>
      <c r="E28" s="194">
        <v>0.66666666666666663</v>
      </c>
      <c r="F28" s="193" t="b">
        <f t="shared" si="45"/>
        <v>1</v>
      </c>
      <c r="G28" s="193">
        <f t="shared" si="23"/>
        <v>3.125E-2</v>
      </c>
      <c r="H28" s="193">
        <f t="shared" si="46"/>
        <v>0.41666666666666663</v>
      </c>
      <c r="I28" s="193">
        <f t="shared" si="30"/>
        <v>0.38541666666666663</v>
      </c>
      <c r="J28" s="23">
        <f t="shared" ref="J28:J29" si="49">IF(B28&lt;5,((0.5+8.5+(D28*24))/24),IF(B28=5,((6+(D28*24))/24),))</f>
        <v>0.625</v>
      </c>
      <c r="K28" s="199">
        <f t="shared" ref="K28:K29" si="50">IF(F28,IF(B28=5,(I28-6/24)*24,(I28-8.5/24)*24),"")</f>
        <v>0.74999999999999867</v>
      </c>
      <c r="M28" s="213" t="s">
        <v>277</v>
      </c>
      <c r="N28" s="197" t="str">
        <f t="shared" si="44"/>
        <v/>
      </c>
      <c r="P28" s="202"/>
      <c r="Q28" s="202"/>
      <c r="T28" s="192"/>
      <c r="U28" s="192"/>
      <c r="V28" s="192"/>
      <c r="W28" s="192"/>
      <c r="X28" s="192"/>
      <c r="Y28" s="192"/>
      <c r="Z28" s="192"/>
      <c r="AA28" s="192"/>
      <c r="AB28" s="192"/>
      <c r="AC28" s="192"/>
      <c r="AD28" s="192"/>
      <c r="AE28" s="192"/>
      <c r="AF28" s="192"/>
      <c r="AG28" s="192"/>
    </row>
    <row r="29" spans="1:33" x14ac:dyDescent="0.25">
      <c r="A29" s="36">
        <v>46160</v>
      </c>
      <c r="B29" s="198">
        <f t="shared" si="47"/>
        <v>1</v>
      </c>
      <c r="C29" t="str">
        <f t="shared" si="48"/>
        <v>Mo</v>
      </c>
      <c r="D29" s="193">
        <v>0.34375</v>
      </c>
      <c r="E29" s="194">
        <v>0.73958333333333337</v>
      </c>
      <c r="F29" s="193" t="b">
        <f t="shared" si="45"/>
        <v>1</v>
      </c>
      <c r="G29" s="193">
        <f t="shared" si="23"/>
        <v>2.0833333333333388E-2</v>
      </c>
      <c r="H29" s="193">
        <f t="shared" si="46"/>
        <v>0.39583333333333337</v>
      </c>
      <c r="I29" s="193">
        <f t="shared" si="30"/>
        <v>0.375</v>
      </c>
      <c r="J29" s="23">
        <f t="shared" si="49"/>
        <v>0.71875</v>
      </c>
      <c r="K29" s="199">
        <f t="shared" si="50"/>
        <v>0.49999999999999956</v>
      </c>
      <c r="M29" t="s">
        <v>279</v>
      </c>
      <c r="N29" s="197" t="str">
        <f t="shared" si="44"/>
        <v/>
      </c>
      <c r="P29" s="202"/>
      <c r="Q29" s="202"/>
      <c r="S29" s="7"/>
      <c r="T29" s="7"/>
      <c r="U29" s="7"/>
      <c r="V29" s="7"/>
      <c r="W29" s="7"/>
      <c r="X29" s="7"/>
      <c r="Y29" s="7"/>
      <c r="Z29" s="7"/>
      <c r="AA29" s="7"/>
      <c r="AB29" s="7"/>
    </row>
    <row r="30" spans="1:33" x14ac:dyDescent="0.25">
      <c r="A30" s="36">
        <v>46159</v>
      </c>
      <c r="B30" s="198">
        <f t="shared" ref="B30:B33" si="51">WEEKDAY(A30,2)</f>
        <v>7</v>
      </c>
      <c r="C30" t="str">
        <f t="shared" ref="C30:C33" si="52">IF(B30=1,"Mo",IF(B30=2,"Di",IF(B30=3,"Mi",IF(B30=4,"Do",IF(B30=5,"Fr",IF(B30=6,"Sa",IF(B30=7,"So","")))))))</f>
        <v>So</v>
      </c>
      <c r="F30" s="193" t="b">
        <f>AND(NOT(ISBLANK(D30)),NOT(ISBLANK(E30)))</f>
        <v>0</v>
      </c>
      <c r="G30" s="193" t="str">
        <f t="shared" ref="G30:G31" si="53">IF(F30,IF(AND(H30&gt;6/24,H30&lt;=9.5/24),0.5/24,IF(H30&gt;9.5/24,0.75/24,0)),"")</f>
        <v/>
      </c>
      <c r="H30" s="193" t="str">
        <f>IF(F30,E30-D30,"")</f>
        <v/>
      </c>
      <c r="I30" s="193" t="str">
        <f t="shared" si="30"/>
        <v/>
      </c>
      <c r="J30" s="23">
        <f t="shared" ref="J30:J33" si="54">IF(B30&lt;5,((0.5+8.5+(D30*24))/24),IF(B30=5,((6+(D30*24))/24),))</f>
        <v>0</v>
      </c>
      <c r="K30" s="199" t="str">
        <f t="shared" ref="K30:K32" si="55">IF(F30,IF(B30=5,(I30-6/24)*24,(I30-8.5/24)*24),"")</f>
        <v/>
      </c>
      <c r="N30" s="197">
        <f t="shared" ref="N30:N43" si="56">IF(B30=7,(SUM(K30:K36)),"")</f>
        <v>-0.24999999999999778</v>
      </c>
    </row>
    <row r="31" spans="1:33" x14ac:dyDescent="0.25">
      <c r="A31" s="36">
        <v>46158</v>
      </c>
      <c r="B31" s="198">
        <f t="shared" si="51"/>
        <v>6</v>
      </c>
      <c r="C31" t="str">
        <f t="shared" si="52"/>
        <v>Sa</v>
      </c>
      <c r="F31" s="193" t="b">
        <f t="shared" ref="F31:F36" si="57">AND(NOT(ISBLANK(D31)),NOT(ISBLANK(E31)))</f>
        <v>0</v>
      </c>
      <c r="G31" s="193" t="str">
        <f t="shared" si="53"/>
        <v/>
      </c>
      <c r="H31" s="193" t="str">
        <f t="shared" ref="H31:H36" si="58">IF(F31,E31-D31,"")</f>
        <v/>
      </c>
      <c r="I31" s="193" t="str">
        <f t="shared" si="30"/>
        <v/>
      </c>
      <c r="J31" s="23">
        <f t="shared" si="54"/>
        <v>0</v>
      </c>
      <c r="K31" s="199" t="str">
        <f t="shared" si="55"/>
        <v/>
      </c>
      <c r="N31" s="197" t="str">
        <f t="shared" si="56"/>
        <v/>
      </c>
    </row>
    <row r="32" spans="1:33" x14ac:dyDescent="0.25">
      <c r="A32" s="36">
        <v>46157</v>
      </c>
      <c r="B32" s="198">
        <f t="shared" si="51"/>
        <v>5</v>
      </c>
      <c r="C32" t="str">
        <f t="shared" si="52"/>
        <v>Fr</v>
      </c>
      <c r="D32" s="193">
        <v>0.28125</v>
      </c>
      <c r="E32" s="193">
        <v>0.48958333333333331</v>
      </c>
      <c r="F32" s="193" t="b">
        <f t="shared" si="57"/>
        <v>1</v>
      </c>
      <c r="G32" s="193">
        <f t="shared" ref="G32:G46" si="59">IF(F32,IF(AND(H32&gt;6/24,H32&lt;=9.5/24),0.5/24,IF(H32&gt;9.5/24,0.75/24,0)),"")</f>
        <v>0</v>
      </c>
      <c r="H32" s="193">
        <f t="shared" si="58"/>
        <v>0.20833333333333331</v>
      </c>
      <c r="I32" s="193">
        <f t="shared" si="30"/>
        <v>0.20833333333333331</v>
      </c>
      <c r="J32" s="23">
        <f t="shared" si="54"/>
        <v>0.53125</v>
      </c>
      <c r="K32" s="199">
        <f t="shared" si="55"/>
        <v>-1.0000000000000004</v>
      </c>
      <c r="N32" s="197" t="str">
        <f t="shared" si="56"/>
        <v/>
      </c>
    </row>
    <row r="33" spans="1:17" x14ac:dyDescent="0.25">
      <c r="A33" s="36">
        <v>46156</v>
      </c>
      <c r="B33" s="198">
        <f t="shared" si="51"/>
        <v>4</v>
      </c>
      <c r="C33" t="str">
        <f t="shared" si="52"/>
        <v>Do</v>
      </c>
      <c r="E33" s="194"/>
      <c r="F33" s="193" t="b">
        <f t="shared" si="57"/>
        <v>0</v>
      </c>
      <c r="G33" s="193" t="str">
        <f t="shared" si="59"/>
        <v/>
      </c>
      <c r="H33" s="193" t="str">
        <f t="shared" si="58"/>
        <v/>
      </c>
      <c r="I33" s="193" t="str">
        <f t="shared" si="30"/>
        <v/>
      </c>
      <c r="J33" s="23">
        <f t="shared" si="54"/>
        <v>0.375</v>
      </c>
      <c r="K33" s="199" t="str">
        <f>IF(F33,IF(B33=5,(I33-6/24)*24,(I33-8.5/24)*24),"")</f>
        <v/>
      </c>
      <c r="L33" t="s">
        <v>25</v>
      </c>
      <c r="N33" s="197" t="str">
        <f t="shared" si="56"/>
        <v/>
      </c>
    </row>
    <row r="34" spans="1:17" x14ac:dyDescent="0.25">
      <c r="A34" s="36">
        <v>46155</v>
      </c>
      <c r="B34" s="198">
        <f>WEEKDAY(A34,2)</f>
        <v>3</v>
      </c>
      <c r="C34" t="str">
        <f>IF(B34=1,"Mo",IF(B34=2,"Di",IF(B34=3,"Mi",IF(B34=4,"Do",IF(B34=5,"Fr",IF(B34=6,"Sa",IF(B34=7,"So","")))))))</f>
        <v>Mi</v>
      </c>
      <c r="D34" s="193">
        <v>0.30208333333333331</v>
      </c>
      <c r="E34" s="194">
        <v>0.67708333333333337</v>
      </c>
      <c r="F34" s="193" t="b">
        <f t="shared" si="57"/>
        <v>1</v>
      </c>
      <c r="G34" s="193">
        <f t="shared" si="59"/>
        <v>2.0833333333333332E-2</v>
      </c>
      <c r="H34" s="193">
        <f t="shared" si="58"/>
        <v>0.37500000000000006</v>
      </c>
      <c r="I34" s="193">
        <f t="shared" si="30"/>
        <v>0.35416666666666674</v>
      </c>
      <c r="J34" s="23">
        <f>IF(B34&lt;5,((0.5+8.5+(D34*24))/24),IF(B34=5,((6+(D34*24))/24),))</f>
        <v>0.67708333333333337</v>
      </c>
      <c r="K34" s="199">
        <f>IF(F34,IF(B34=5,(I34-6/24)*24,(I34-8.5/24)*24),"")</f>
        <v>1.3322676295501878E-15</v>
      </c>
      <c r="N34" s="197" t="str">
        <f t="shared" si="56"/>
        <v/>
      </c>
    </row>
    <row r="35" spans="1:17" x14ac:dyDescent="0.25">
      <c r="A35" s="36">
        <v>46154</v>
      </c>
      <c r="B35" s="198">
        <f t="shared" ref="B35:B40" si="60">WEEKDAY(A35,2)</f>
        <v>2</v>
      </c>
      <c r="C35" t="str">
        <f t="shared" ref="C35:C40" si="61">IF(B35=1,"Mo",IF(B35=2,"Di",IF(B35=3,"Mi",IF(B35=4,"Do",IF(B35=5,"Fr",IF(B35=6,"Sa",IF(B35=7,"So","")))))))</f>
        <v>Di</v>
      </c>
      <c r="D35" s="193">
        <v>0.29166666666666669</v>
      </c>
      <c r="E35" s="194">
        <v>0.77083333333333337</v>
      </c>
      <c r="F35" s="193" t="b">
        <f t="shared" si="57"/>
        <v>1</v>
      </c>
      <c r="G35" s="193">
        <v>6.25E-2</v>
      </c>
      <c r="H35" s="193">
        <f t="shared" si="58"/>
        <v>0.47916666666666669</v>
      </c>
      <c r="I35" s="193">
        <f t="shared" si="30"/>
        <v>0.41666666666666669</v>
      </c>
      <c r="J35" s="23">
        <f t="shared" ref="J35:J40" si="62">IF(B35&lt;5,((0.5+8.5+(D35*24))/24),IF(B35=5,((6+(D35*24))/24),))</f>
        <v>0.66666666666666663</v>
      </c>
      <c r="K35" s="199">
        <f t="shared" ref="K35:K39" si="63">IF(F35,IF(B35=5,(I35-6/24)*24,(I35-8.5/24)*24),"")</f>
        <v>1.5</v>
      </c>
      <c r="M35" s="213" t="s">
        <v>277</v>
      </c>
      <c r="N35" s="197" t="str">
        <f t="shared" si="56"/>
        <v/>
      </c>
    </row>
    <row r="36" spans="1:17" x14ac:dyDescent="0.25">
      <c r="A36" s="36">
        <v>46153</v>
      </c>
      <c r="B36" s="198">
        <f t="shared" si="60"/>
        <v>1</v>
      </c>
      <c r="C36" t="str">
        <f t="shared" si="61"/>
        <v>Mo</v>
      </c>
      <c r="D36" s="193">
        <v>0.36458333333333331</v>
      </c>
      <c r="E36" s="194">
        <v>0.70833333333333337</v>
      </c>
      <c r="F36" s="193" t="b">
        <f t="shared" si="57"/>
        <v>1</v>
      </c>
      <c r="G36" s="193">
        <f t="shared" si="59"/>
        <v>2.0833333333333332E-2</v>
      </c>
      <c r="H36" s="193">
        <f t="shared" si="58"/>
        <v>0.34375000000000006</v>
      </c>
      <c r="I36" s="193">
        <f t="shared" ref="I36" si="64">IF(F36,H36-G36,"")</f>
        <v>0.32291666666666674</v>
      </c>
      <c r="J36" s="23">
        <f t="shared" si="62"/>
        <v>0.73958333333333337</v>
      </c>
      <c r="K36" s="199">
        <f t="shared" si="63"/>
        <v>-0.74999999999999867</v>
      </c>
      <c r="N36" s="197" t="str">
        <f t="shared" si="56"/>
        <v/>
      </c>
    </row>
    <row r="37" spans="1:17" x14ac:dyDescent="0.25">
      <c r="A37" s="36">
        <v>46152</v>
      </c>
      <c r="B37" s="198">
        <f t="shared" si="60"/>
        <v>7</v>
      </c>
      <c r="C37" t="str">
        <f t="shared" si="61"/>
        <v>So</v>
      </c>
      <c r="F37" s="193" t="b">
        <f>AND(NOT(ISBLANK(D37)),NOT(ISBLANK(E37)))</f>
        <v>0</v>
      </c>
      <c r="G37" s="193" t="str">
        <f t="shared" si="59"/>
        <v/>
      </c>
      <c r="H37" s="193" t="str">
        <f>IF(F37,E37-D37,"")</f>
        <v/>
      </c>
      <c r="I37" s="193" t="str">
        <f>IF(F37,H37-G37,"")</f>
        <v/>
      </c>
      <c r="J37" s="23">
        <f t="shared" si="62"/>
        <v>0</v>
      </c>
      <c r="K37" s="199" t="str">
        <f t="shared" si="63"/>
        <v/>
      </c>
      <c r="N37" s="197">
        <f t="shared" si="56"/>
        <v>0</v>
      </c>
    </row>
    <row r="38" spans="1:17" x14ac:dyDescent="0.25">
      <c r="A38" s="36">
        <v>46151</v>
      </c>
      <c r="B38" s="198">
        <f t="shared" si="60"/>
        <v>6</v>
      </c>
      <c r="C38" t="str">
        <f t="shared" si="61"/>
        <v>Sa</v>
      </c>
      <c r="F38" s="193" t="b">
        <f t="shared" ref="F38:F43" si="65">AND(NOT(ISBLANK(D38)),NOT(ISBLANK(E38)))</f>
        <v>0</v>
      </c>
      <c r="G38" s="193" t="str">
        <f t="shared" si="59"/>
        <v/>
      </c>
      <c r="H38" s="193" t="str">
        <f t="shared" ref="H38:H43" si="66">IF(F38,E38-D38,"")</f>
        <v/>
      </c>
      <c r="I38" s="193" t="str">
        <f t="shared" ref="I38:I43" si="67">IF(F38,H38-G38,"")</f>
        <v/>
      </c>
      <c r="J38" s="23">
        <f t="shared" si="62"/>
        <v>0</v>
      </c>
      <c r="K38" s="199" t="str">
        <f t="shared" si="63"/>
        <v/>
      </c>
      <c r="N38" s="197" t="str">
        <f t="shared" si="56"/>
        <v/>
      </c>
    </row>
    <row r="39" spans="1:17" x14ac:dyDescent="0.25">
      <c r="A39" s="36">
        <v>46150</v>
      </c>
      <c r="B39" s="198">
        <f t="shared" si="60"/>
        <v>5</v>
      </c>
      <c r="C39" t="str">
        <f t="shared" si="61"/>
        <v>Fr</v>
      </c>
      <c r="F39" s="193" t="b">
        <f t="shared" si="65"/>
        <v>0</v>
      </c>
      <c r="G39" s="193" t="str">
        <f t="shared" si="59"/>
        <v/>
      </c>
      <c r="H39" s="193" t="str">
        <f t="shared" si="66"/>
        <v/>
      </c>
      <c r="I39" s="193" t="str">
        <f t="shared" si="67"/>
        <v/>
      </c>
      <c r="J39" s="23">
        <f t="shared" si="62"/>
        <v>0.25</v>
      </c>
      <c r="K39" s="199" t="str">
        <f t="shared" si="63"/>
        <v/>
      </c>
      <c r="L39" s="211" t="s">
        <v>29</v>
      </c>
      <c r="N39" s="197" t="str">
        <f t="shared" si="56"/>
        <v/>
      </c>
    </row>
    <row r="40" spans="1:17" x14ac:dyDescent="0.25">
      <c r="A40" s="36">
        <v>46149</v>
      </c>
      <c r="B40" s="198">
        <f t="shared" si="60"/>
        <v>4</v>
      </c>
      <c r="C40" t="str">
        <f t="shared" si="61"/>
        <v>Do</v>
      </c>
      <c r="E40" s="194"/>
      <c r="F40" s="193" t="b">
        <f t="shared" si="65"/>
        <v>0</v>
      </c>
      <c r="G40" s="193" t="str">
        <f t="shared" si="59"/>
        <v/>
      </c>
      <c r="H40" s="193" t="str">
        <f t="shared" si="66"/>
        <v/>
      </c>
      <c r="I40" s="193" t="str">
        <f t="shared" si="67"/>
        <v/>
      </c>
      <c r="J40" s="23">
        <f t="shared" si="62"/>
        <v>0.375</v>
      </c>
      <c r="K40" s="199" t="str">
        <f>IF(F40,IF(B40=5,(I40-6/24)*24,(I40-8.5/24)*24),"")</f>
        <v/>
      </c>
      <c r="L40" s="211" t="s">
        <v>29</v>
      </c>
      <c r="N40" s="197" t="str">
        <f t="shared" si="56"/>
        <v/>
      </c>
      <c r="P40" s="177"/>
    </row>
    <row r="41" spans="1:17" x14ac:dyDescent="0.25">
      <c r="A41" s="36">
        <v>46148</v>
      </c>
      <c r="B41" s="198">
        <f>WEEKDAY(A41,2)</f>
        <v>3</v>
      </c>
      <c r="C41" t="str">
        <f>IF(B41=1,"Mo",IF(B41=2,"Di",IF(B41=3,"Mi",IF(B41=4,"Do",IF(B41=5,"Fr",IF(B41=6,"Sa",IF(B41=7,"So","")))))))</f>
        <v>Mi</v>
      </c>
      <c r="E41" s="194"/>
      <c r="F41" s="193" t="b">
        <f t="shared" si="65"/>
        <v>0</v>
      </c>
      <c r="G41" s="193" t="str">
        <f t="shared" si="59"/>
        <v/>
      </c>
      <c r="H41" s="193" t="str">
        <f t="shared" si="66"/>
        <v/>
      </c>
      <c r="I41" s="193" t="str">
        <f t="shared" si="67"/>
        <v/>
      </c>
      <c r="J41" s="23">
        <f>IF(B41&lt;5,((0.5+8.5+(D41*24))/24),IF(B41=5,((6+(D41*24))/24),))</f>
        <v>0.375</v>
      </c>
      <c r="K41" s="199" t="str">
        <f>IF(F41,IF(B41=5,(I41-6/24)*24,(I41-8.5/24)*24),"")</f>
        <v/>
      </c>
      <c r="L41" s="211" t="s">
        <v>29</v>
      </c>
      <c r="N41" s="197" t="str">
        <f t="shared" si="56"/>
        <v/>
      </c>
      <c r="P41" s="197"/>
      <c r="Q41" s="177"/>
    </row>
    <row r="42" spans="1:17" x14ac:dyDescent="0.25">
      <c r="A42" s="36">
        <v>46147</v>
      </c>
      <c r="B42" s="198">
        <f t="shared" ref="B42:B43" si="68">WEEKDAY(A42,2)</f>
        <v>2</v>
      </c>
      <c r="C42" t="str">
        <f t="shared" ref="C42:C43" si="69">IF(B42=1,"Mo",IF(B42=2,"Di",IF(B42=3,"Mi",IF(B42=4,"Do",IF(B42=5,"Fr",IF(B42=6,"Sa",IF(B42=7,"So","")))))))</f>
        <v>Di</v>
      </c>
      <c r="E42" s="194"/>
      <c r="F42" s="193" t="b">
        <f t="shared" si="65"/>
        <v>0</v>
      </c>
      <c r="H42" s="193" t="str">
        <f t="shared" si="66"/>
        <v/>
      </c>
      <c r="I42" s="193" t="str">
        <f t="shared" si="67"/>
        <v/>
      </c>
      <c r="J42" s="23">
        <f t="shared" ref="J42:J43" si="70">IF(B42&lt;5,((0.5+8.5+(D42*24))/24),IF(B42=5,((6+(D42*24))/24),))</f>
        <v>0.375</v>
      </c>
      <c r="K42" s="199" t="str">
        <f t="shared" ref="K42:K43" si="71">IF(F42,IF(B42=5,(I42-6/24)*24,(I42-8.5/24)*24),"")</f>
        <v/>
      </c>
      <c r="L42" s="211" t="s">
        <v>29</v>
      </c>
      <c r="N42" s="197" t="str">
        <f t="shared" si="56"/>
        <v/>
      </c>
      <c r="P42" s="197"/>
    </row>
    <row r="43" spans="1:17" x14ac:dyDescent="0.25">
      <c r="A43" s="36">
        <v>46146</v>
      </c>
      <c r="B43" s="198">
        <f t="shared" si="68"/>
        <v>1</v>
      </c>
      <c r="C43" t="str">
        <f t="shared" si="69"/>
        <v>Mo</v>
      </c>
      <c r="E43" s="194"/>
      <c r="F43" s="193" t="b">
        <f t="shared" si="65"/>
        <v>0</v>
      </c>
      <c r="G43" s="193" t="str">
        <f t="shared" si="59"/>
        <v/>
      </c>
      <c r="H43" s="193" t="str">
        <f t="shared" si="66"/>
        <v/>
      </c>
      <c r="I43" s="193" t="str">
        <f t="shared" si="67"/>
        <v/>
      </c>
      <c r="J43" s="23">
        <f t="shared" si="70"/>
        <v>0.375</v>
      </c>
      <c r="K43" s="199" t="str">
        <f t="shared" si="71"/>
        <v/>
      </c>
      <c r="L43" s="211" t="s">
        <v>29</v>
      </c>
      <c r="N43" s="197" t="str">
        <f t="shared" si="56"/>
        <v/>
      </c>
      <c r="P43" s="197"/>
    </row>
    <row r="44" spans="1:17" x14ac:dyDescent="0.25">
      <c r="A44" s="36">
        <v>46145</v>
      </c>
      <c r="B44" s="198">
        <f t="shared" ref="B44:B47" si="72">WEEKDAY(A44,2)</f>
        <v>7</v>
      </c>
      <c r="C44" t="str">
        <f t="shared" ref="C44:C47" si="73">IF(B44=1,"Mo",IF(B44=2,"Di",IF(B44=3,"Mi",IF(B44=4,"Do",IF(B44=5,"Fr",IF(B44=6,"Sa",IF(B44=7,"So","")))))))</f>
        <v>So</v>
      </c>
      <c r="F44" s="193" t="b">
        <f>AND(NOT(ISBLANK(D44)),NOT(ISBLANK(E44)))</f>
        <v>0</v>
      </c>
      <c r="G44" s="193" t="str">
        <f t="shared" si="59"/>
        <v/>
      </c>
      <c r="H44" s="193" t="str">
        <f>IF(F44,E44-D44,"")</f>
        <v/>
      </c>
      <c r="I44" s="193" t="str">
        <f>IF(F44,H44-G44,"")</f>
        <v/>
      </c>
      <c r="J44" s="23">
        <f t="shared" ref="J44:J47" si="74">IF(B44&lt;5,((0.5+8.5+(D44*24))/24),IF(B44=5,((6+(D44*24))/24),))</f>
        <v>0</v>
      </c>
      <c r="K44" s="199" t="str">
        <f t="shared" ref="K44:K46" si="75">IF(F44,IF(B44=5,(I44-6/24)*24,(I44-8.5/24)*24),"")</f>
        <v/>
      </c>
      <c r="N44" s="197">
        <f t="shared" ref="N44:N50" si="76">IF(B44=7,(SUM(K44:K50)),"")</f>
        <v>5.9999999999999964</v>
      </c>
      <c r="P44" s="197"/>
    </row>
    <row r="45" spans="1:17" x14ac:dyDescent="0.25">
      <c r="A45" s="36">
        <v>46144</v>
      </c>
      <c r="B45" s="198">
        <f t="shared" si="72"/>
        <v>6</v>
      </c>
      <c r="C45" t="str">
        <f t="shared" si="73"/>
        <v>Sa</v>
      </c>
      <c r="F45" s="193" t="b">
        <f t="shared" ref="F45:F50" si="77">AND(NOT(ISBLANK(D45)),NOT(ISBLANK(E45)))</f>
        <v>0</v>
      </c>
      <c r="G45" s="193" t="str">
        <f t="shared" si="59"/>
        <v/>
      </c>
      <c r="H45" s="193" t="str">
        <f t="shared" ref="H45:H50" si="78">IF(F45,E45-D45,"")</f>
        <v/>
      </c>
      <c r="I45" s="193" t="str">
        <f t="shared" ref="I45:I50" si="79">IF(F45,H45-G45,"")</f>
        <v/>
      </c>
      <c r="J45" s="23">
        <f t="shared" si="74"/>
        <v>0</v>
      </c>
      <c r="K45" s="199" t="str">
        <f t="shared" si="75"/>
        <v/>
      </c>
      <c r="N45" s="197" t="str">
        <f t="shared" si="76"/>
        <v/>
      </c>
      <c r="P45" s="197"/>
    </row>
    <row r="46" spans="1:17" x14ac:dyDescent="0.25">
      <c r="A46" s="36">
        <v>46143</v>
      </c>
      <c r="B46" s="198">
        <f t="shared" si="72"/>
        <v>5</v>
      </c>
      <c r="C46" t="str">
        <f t="shared" si="73"/>
        <v>Fr</v>
      </c>
      <c r="F46" s="193" t="b">
        <f t="shared" si="77"/>
        <v>0</v>
      </c>
      <c r="G46" s="193" t="str">
        <f t="shared" si="59"/>
        <v/>
      </c>
      <c r="H46" s="193" t="str">
        <f t="shared" si="78"/>
        <v/>
      </c>
      <c r="I46" s="193" t="str">
        <f t="shared" si="79"/>
        <v/>
      </c>
      <c r="J46" s="23">
        <f t="shared" si="74"/>
        <v>0.25</v>
      </c>
      <c r="K46" s="199" t="str">
        <f t="shared" si="75"/>
        <v/>
      </c>
      <c r="L46" t="s">
        <v>25</v>
      </c>
      <c r="M46" s="213" t="s">
        <v>277</v>
      </c>
      <c r="N46" s="197" t="str">
        <f t="shared" si="76"/>
        <v/>
      </c>
      <c r="P46" s="197"/>
      <c r="Q46" s="197"/>
    </row>
    <row r="47" spans="1:17" x14ac:dyDescent="0.25">
      <c r="A47" s="36">
        <v>46142</v>
      </c>
      <c r="B47" s="198">
        <f t="shared" si="72"/>
        <v>4</v>
      </c>
      <c r="C47" t="str">
        <f t="shared" si="73"/>
        <v>Do</v>
      </c>
      <c r="D47" s="193">
        <v>0.28125</v>
      </c>
      <c r="E47" s="194">
        <v>0.72916666666666663</v>
      </c>
      <c r="F47" s="193" t="b">
        <f t="shared" si="77"/>
        <v>1</v>
      </c>
      <c r="G47" s="193">
        <f t="shared" ref="G47:G49" si="80">IF(F47,IF(AND(H47&gt;6/24,H47&lt;=9.5/24),0.5/24,IF(H47&gt;9.5/24,0.75/24,0)),"")</f>
        <v>3.125E-2</v>
      </c>
      <c r="H47" s="193">
        <f t="shared" si="78"/>
        <v>0.44791666666666663</v>
      </c>
      <c r="I47" s="193">
        <f t="shared" si="79"/>
        <v>0.41666666666666663</v>
      </c>
      <c r="J47" s="23">
        <f t="shared" si="74"/>
        <v>0.65625</v>
      </c>
      <c r="K47" s="199">
        <f>IF(F47,IF(B47=5,(I47-6/24)*24,(I47-8.5/24)*24),"")</f>
        <v>1.4999999999999987</v>
      </c>
      <c r="N47" s="197" t="str">
        <f t="shared" si="76"/>
        <v/>
      </c>
      <c r="P47" s="197"/>
    </row>
    <row r="48" spans="1:17" x14ac:dyDescent="0.25">
      <c r="A48" s="36">
        <v>46141</v>
      </c>
      <c r="B48" s="198">
        <f>WEEKDAY(A48,2)</f>
        <v>3</v>
      </c>
      <c r="C48" t="str">
        <f>IF(B48=1,"Mo",IF(B48=2,"Di",IF(B48=3,"Mi",IF(B48=4,"Do",IF(B48=5,"Fr",IF(B48=6,"Sa",IF(B48=7,"So","")))))))</f>
        <v>Mi</v>
      </c>
      <c r="D48" s="193">
        <v>0.29166666666666669</v>
      </c>
      <c r="E48" s="194">
        <v>0.73958333333333337</v>
      </c>
      <c r="F48" s="193" t="b">
        <f t="shared" si="77"/>
        <v>1</v>
      </c>
      <c r="G48" s="193">
        <f t="shared" si="80"/>
        <v>3.125E-2</v>
      </c>
      <c r="H48" s="193">
        <f t="shared" si="78"/>
        <v>0.44791666666666669</v>
      </c>
      <c r="I48" s="193">
        <f t="shared" si="79"/>
        <v>0.41666666666666669</v>
      </c>
      <c r="J48" s="23">
        <f>IF(B48&lt;5,((0.5+8.5+(D48*24))/24),IF(B48=5,((6+(D48*24))/24),))</f>
        <v>0.66666666666666663</v>
      </c>
      <c r="K48" s="199">
        <f>IF(F48,IF(B48=5,(I48-6/24)*24,(I48-8.5/24)*24),"")</f>
        <v>1.5</v>
      </c>
      <c r="M48" s="213" t="s">
        <v>277</v>
      </c>
      <c r="N48" s="197" t="str">
        <f t="shared" si="76"/>
        <v/>
      </c>
      <c r="P48" s="197"/>
    </row>
    <row r="49" spans="1:16" x14ac:dyDescent="0.25">
      <c r="A49" s="36">
        <v>46140</v>
      </c>
      <c r="B49" s="198">
        <f t="shared" ref="B49:B50" si="81">WEEKDAY(A49,2)</f>
        <v>2</v>
      </c>
      <c r="C49" t="str">
        <f t="shared" ref="C49:C50" si="82">IF(B49=1,"Mo",IF(B49=2,"Di",IF(B49=3,"Mi",IF(B49=4,"Do",IF(B49=5,"Fr",IF(B49=6,"Sa",IF(B49=7,"So","")))))))</f>
        <v>Di</v>
      </c>
      <c r="D49" s="193">
        <v>0.30208333333333331</v>
      </c>
      <c r="E49" s="194">
        <v>0.75</v>
      </c>
      <c r="F49" s="193" t="b">
        <f t="shared" si="77"/>
        <v>1</v>
      </c>
      <c r="G49" s="193">
        <f t="shared" si="80"/>
        <v>3.125E-2</v>
      </c>
      <c r="H49" s="193">
        <f t="shared" si="78"/>
        <v>0.44791666666666669</v>
      </c>
      <c r="I49" s="193">
        <f t="shared" si="79"/>
        <v>0.41666666666666669</v>
      </c>
      <c r="J49" s="23">
        <f t="shared" ref="J49:J50" si="83">IF(B49&lt;5,((0.5+8.5+(D49*24))/24),IF(B49=5,((6+(D49*24))/24),))</f>
        <v>0.67708333333333337</v>
      </c>
      <c r="K49" s="199">
        <f t="shared" ref="K49:K50" si="84">IF(F49,IF(B49=5,(I49-6/24)*24,(I49-8.5/24)*24),"")</f>
        <v>1.5</v>
      </c>
      <c r="N49" s="197" t="str">
        <f t="shared" si="76"/>
        <v/>
      </c>
      <c r="P49" s="197"/>
    </row>
    <row r="50" spans="1:16" x14ac:dyDescent="0.25">
      <c r="A50" s="36">
        <v>46139</v>
      </c>
      <c r="B50" s="198">
        <f t="shared" si="81"/>
        <v>1</v>
      </c>
      <c r="C50" t="str">
        <f t="shared" si="82"/>
        <v>Mo</v>
      </c>
      <c r="D50" s="193">
        <v>0.25</v>
      </c>
      <c r="E50" s="194">
        <v>0.72916666666666663</v>
      </c>
      <c r="F50" s="193" t="b">
        <f t="shared" si="77"/>
        <v>1</v>
      </c>
      <c r="G50" s="193">
        <v>6.25E-2</v>
      </c>
      <c r="H50" s="193">
        <f t="shared" si="78"/>
        <v>0.47916666666666663</v>
      </c>
      <c r="I50" s="193">
        <f t="shared" si="79"/>
        <v>0.41666666666666663</v>
      </c>
      <c r="J50" s="23">
        <f t="shared" si="83"/>
        <v>0.625</v>
      </c>
      <c r="K50" s="199">
        <f t="shared" si="84"/>
        <v>1.4999999999999987</v>
      </c>
      <c r="N50" s="197" t="str">
        <f t="shared" si="76"/>
        <v/>
      </c>
      <c r="P50" s="197"/>
    </row>
    <row r="51" spans="1:16" x14ac:dyDescent="0.25">
      <c r="A51" s="36">
        <v>46138</v>
      </c>
      <c r="B51" s="198">
        <f t="shared" ref="B51:B54" si="85">WEEKDAY(A51,2)</f>
        <v>7</v>
      </c>
      <c r="C51" t="str">
        <f t="shared" ref="C51:C54" si="86">IF(B51=1,"Mo",IF(B51=2,"Di",IF(B51=3,"Mi",IF(B51=4,"Do",IF(B51=5,"Fr",IF(B51=6,"Sa",IF(B51=7,"So","")))))))</f>
        <v>So</v>
      </c>
      <c r="F51" s="193" t="b">
        <f>AND(NOT(ISBLANK(D51)),NOT(ISBLANK(E51)))</f>
        <v>0</v>
      </c>
      <c r="G51" s="193" t="str">
        <f>IF(F51,IF(AND(H51&gt;6/24,H51&lt;=9.5/24),0.5/24,IF(H51&gt;9.5/24,0.75/24,0)),"")</f>
        <v/>
      </c>
      <c r="H51" s="193" t="str">
        <f>IF(F51,E51-D51,"")</f>
        <v/>
      </c>
      <c r="I51" s="193" t="str">
        <f>IF(F51,H51-G51,"")</f>
        <v/>
      </c>
      <c r="J51" s="23">
        <f t="shared" ref="J51:J54" si="87">IF(B51&lt;5,((0.5+8.5+(D51*24))/24),IF(B51=5,((6+(D51*24))/24),))</f>
        <v>0</v>
      </c>
      <c r="K51" s="199" t="str">
        <f t="shared" ref="K51:K53" si="88">IF(F51,IF(B51=5,(I51-6/24)*24,(I51-8.5/24)*24),"")</f>
        <v/>
      </c>
      <c r="N51" s="197">
        <f t="shared" ref="N51:N57" si="89">IF(B51=7,(SUM(K51:K57)),"")</f>
        <v>8.7499999999999964</v>
      </c>
      <c r="O51" s="197"/>
      <c r="P51" s="197"/>
    </row>
    <row r="52" spans="1:16" x14ac:dyDescent="0.25">
      <c r="A52" s="36">
        <v>46137</v>
      </c>
      <c r="B52" s="198">
        <f t="shared" si="85"/>
        <v>6</v>
      </c>
      <c r="C52" t="str">
        <f t="shared" si="86"/>
        <v>Sa</v>
      </c>
      <c r="F52" s="193" t="b">
        <f t="shared" ref="F52:F57" si="90">AND(NOT(ISBLANK(D52)),NOT(ISBLANK(E52)))</f>
        <v>0</v>
      </c>
      <c r="G52" s="193" t="str">
        <f t="shared" ref="G52:G54" si="91">IF(F52,IF(AND(H52&gt;6/24,H52&lt;=9.5/24),0.5/24,IF(H52&gt;9.5/24,0.75/24,0)),"")</f>
        <v/>
      </c>
      <c r="H52" s="193" t="str">
        <f t="shared" ref="H52:H57" si="92">IF(F52,E52-D52,"")</f>
        <v/>
      </c>
      <c r="I52" s="193" t="str">
        <f t="shared" ref="I52:I57" si="93">IF(F52,H52-G52,"")</f>
        <v/>
      </c>
      <c r="J52" s="23">
        <f t="shared" si="87"/>
        <v>0</v>
      </c>
      <c r="K52" s="199" t="str">
        <f t="shared" si="88"/>
        <v/>
      </c>
      <c r="N52" s="197" t="str">
        <f t="shared" si="89"/>
        <v/>
      </c>
      <c r="P52" s="197"/>
    </row>
    <row r="53" spans="1:16" x14ac:dyDescent="0.25">
      <c r="A53" s="36">
        <v>46136</v>
      </c>
      <c r="B53" s="198">
        <f t="shared" si="85"/>
        <v>5</v>
      </c>
      <c r="C53" t="str">
        <f t="shared" si="86"/>
        <v>Fr</v>
      </c>
      <c r="D53" s="193">
        <v>0.34375</v>
      </c>
      <c r="E53" s="193">
        <v>0.76041666666666663</v>
      </c>
      <c r="F53" s="193" t="b">
        <f t="shared" si="90"/>
        <v>1</v>
      </c>
      <c r="G53" s="193">
        <f t="shared" si="91"/>
        <v>3.125E-2</v>
      </c>
      <c r="H53" s="193">
        <f t="shared" si="92"/>
        <v>0.41666666666666663</v>
      </c>
      <c r="I53" s="193">
        <f t="shared" si="93"/>
        <v>0.38541666666666663</v>
      </c>
      <c r="J53" s="23">
        <f t="shared" si="87"/>
        <v>0.59375</v>
      </c>
      <c r="K53" s="199">
        <f t="shared" si="88"/>
        <v>3.2499999999999991</v>
      </c>
      <c r="M53" s="213" t="s">
        <v>277</v>
      </c>
      <c r="N53" s="197" t="str">
        <f t="shared" si="89"/>
        <v/>
      </c>
      <c r="P53" s="197"/>
    </row>
    <row r="54" spans="1:16" x14ac:dyDescent="0.25">
      <c r="A54" s="36">
        <v>46135</v>
      </c>
      <c r="B54" s="198">
        <f t="shared" si="85"/>
        <v>4</v>
      </c>
      <c r="C54" t="str">
        <f t="shared" si="86"/>
        <v>Do</v>
      </c>
      <c r="D54" s="193">
        <v>0.32291666666666669</v>
      </c>
      <c r="E54" s="194">
        <v>0.77083333333333337</v>
      </c>
      <c r="F54" s="193" t="b">
        <f t="shared" si="90"/>
        <v>1</v>
      </c>
      <c r="G54" s="193">
        <f t="shared" si="91"/>
        <v>3.125E-2</v>
      </c>
      <c r="H54" s="193">
        <f t="shared" si="92"/>
        <v>0.44791666666666669</v>
      </c>
      <c r="I54" s="193">
        <f t="shared" si="93"/>
        <v>0.41666666666666669</v>
      </c>
      <c r="J54" s="23">
        <f t="shared" si="87"/>
        <v>0.69791666666666663</v>
      </c>
      <c r="K54" s="199">
        <f>IF(F54,IF(B54=5,(I54-6/24)*24,(I54-8.5/24)*24),"")</f>
        <v>1.5</v>
      </c>
      <c r="N54" s="197" t="str">
        <f t="shared" si="89"/>
        <v/>
      </c>
      <c r="P54" s="197"/>
    </row>
    <row r="55" spans="1:16" x14ac:dyDescent="0.25">
      <c r="A55" s="36">
        <v>46134</v>
      </c>
      <c r="B55" s="198">
        <f>WEEKDAY(A55,2)</f>
        <v>3</v>
      </c>
      <c r="C55" t="str">
        <f>IF(B55=1,"Mo",IF(B55=2,"Di",IF(B55=3,"Mi",IF(B55=4,"Do",IF(B55=5,"Fr",IF(B55=6,"Sa",IF(B55=7,"So","")))))))</f>
        <v>Mi</v>
      </c>
      <c r="D55" s="193">
        <v>0.33333333333333331</v>
      </c>
      <c r="E55" s="194">
        <v>0.78125</v>
      </c>
      <c r="F55" s="193" t="b">
        <f t="shared" si="90"/>
        <v>1</v>
      </c>
      <c r="G55" s="193">
        <f t="shared" ref="G55:G56" si="94">IF(F55,IF(AND(H55&gt;6/24,H55&lt;=9.5/24),0.5/24,IF(H55&gt;9.5/24,0.75/24,0)),"")</f>
        <v>3.125E-2</v>
      </c>
      <c r="H55" s="193">
        <f t="shared" si="92"/>
        <v>0.44791666666666669</v>
      </c>
      <c r="I55" s="193">
        <f t="shared" si="93"/>
        <v>0.41666666666666669</v>
      </c>
      <c r="J55" s="23">
        <f>IF(B55&lt;5,((0.5+8.5+(D55*24))/24),IF(B55=5,((6+(D55*24))/24),))</f>
        <v>0.70833333333333337</v>
      </c>
      <c r="K55" s="199">
        <f>IF(F55,IF(B55=5,(I55-6/24)*24,(I55-8.5/24)*24),"")</f>
        <v>1.5</v>
      </c>
      <c r="N55" s="197" t="str">
        <f t="shared" si="89"/>
        <v/>
      </c>
      <c r="P55" s="197"/>
    </row>
    <row r="56" spans="1:16" x14ac:dyDescent="0.25">
      <c r="A56" s="36">
        <v>46133</v>
      </c>
      <c r="B56" s="198">
        <f t="shared" ref="B56:B57" si="95">WEEKDAY(A56,2)</f>
        <v>2</v>
      </c>
      <c r="C56" t="str">
        <f t="shared" ref="C56:C57" si="96">IF(B56=1,"Mo",IF(B56=2,"Di",IF(B56=3,"Mi",IF(B56=4,"Do",IF(B56=5,"Fr",IF(B56=6,"Sa",IF(B56=7,"So","")))))))</f>
        <v>Di</v>
      </c>
      <c r="D56" s="193">
        <v>0.35416666666666669</v>
      </c>
      <c r="E56" s="194">
        <v>0.78125</v>
      </c>
      <c r="F56" s="193" t="b">
        <f t="shared" si="90"/>
        <v>1</v>
      </c>
      <c r="G56" s="193">
        <f t="shared" si="94"/>
        <v>3.125E-2</v>
      </c>
      <c r="H56" s="193">
        <f t="shared" si="92"/>
        <v>0.42708333333333331</v>
      </c>
      <c r="I56" s="193">
        <f t="shared" si="93"/>
        <v>0.39583333333333331</v>
      </c>
      <c r="J56" s="23">
        <f t="shared" ref="J56:J57" si="97">IF(B56&lt;5,((0.5+8.5+(D56*24))/24),IF(B56=5,((6+(D56*24))/24),))</f>
        <v>0.72916666666666663</v>
      </c>
      <c r="K56" s="199">
        <f t="shared" ref="K56:K57" si="98">IF(F56,IF(B56=5,(I56-6/24)*24,(I56-8.5/24)*24),"")</f>
        <v>0.99999999999999911</v>
      </c>
      <c r="N56" s="197" t="str">
        <f t="shared" si="89"/>
        <v/>
      </c>
      <c r="P56" s="197"/>
    </row>
    <row r="57" spans="1:16" x14ac:dyDescent="0.25">
      <c r="A57" s="36">
        <v>46132</v>
      </c>
      <c r="B57" s="198">
        <f t="shared" si="95"/>
        <v>1</v>
      </c>
      <c r="C57" t="str">
        <f t="shared" si="96"/>
        <v>Mo</v>
      </c>
      <c r="D57" s="193">
        <v>0.3125</v>
      </c>
      <c r="E57" s="194">
        <v>0.79166666666666663</v>
      </c>
      <c r="F57" s="193" t="b">
        <f t="shared" si="90"/>
        <v>1</v>
      </c>
      <c r="G57" s="193">
        <v>6.25E-2</v>
      </c>
      <c r="H57" s="193">
        <f t="shared" si="92"/>
        <v>0.47916666666666663</v>
      </c>
      <c r="I57" s="193">
        <f t="shared" si="93"/>
        <v>0.41666666666666663</v>
      </c>
      <c r="J57" s="23">
        <f t="shared" si="97"/>
        <v>0.6875</v>
      </c>
      <c r="K57" s="199">
        <f t="shared" si="98"/>
        <v>1.4999999999999987</v>
      </c>
      <c r="M57" s="213" t="s">
        <v>277</v>
      </c>
      <c r="N57" s="197" t="str">
        <f t="shared" si="89"/>
        <v/>
      </c>
      <c r="P57" s="197"/>
    </row>
    <row r="58" spans="1:16" x14ac:dyDescent="0.25">
      <c r="A58" s="36">
        <v>46131</v>
      </c>
      <c r="B58" s="198">
        <f t="shared" ref="B58:B61" si="99">WEEKDAY(A58,2)</f>
        <v>7</v>
      </c>
      <c r="C58" t="str">
        <f t="shared" ref="C58:C61" si="100">IF(B58=1,"Mo",IF(B58=2,"Di",IF(B58=3,"Mi",IF(B58=4,"Do",IF(B58=5,"Fr",IF(B58=6,"Sa",IF(B58=7,"So","")))))))</f>
        <v>So</v>
      </c>
      <c r="F58" s="193" t="b">
        <f>AND(NOT(ISBLANK(D58)),NOT(ISBLANK(E58)))</f>
        <v>0</v>
      </c>
      <c r="G58" s="193" t="str">
        <f>IF(F58,IF(AND(H58&gt;6/24,H58&lt;=9.5/24),0.5/24,IF(H58&gt;9.5/24,0.75/24,0)),"")</f>
        <v/>
      </c>
      <c r="H58" s="193" t="str">
        <f>IF(F58,E58-D58,"")</f>
        <v/>
      </c>
      <c r="I58" s="193" t="str">
        <f>IF(F58,H58-G58,"")</f>
        <v/>
      </c>
      <c r="J58" s="23">
        <f t="shared" ref="J58:J61" si="101">IF(B58&lt;5,((0.5+8.5+(D58*24))/24),IF(B58=5,((6+(D58*24))/24),))</f>
        <v>0</v>
      </c>
      <c r="K58" s="199" t="str">
        <f t="shared" ref="K58:K60" si="102">IF(F58,IF(B58=5,(I58-6/24)*24,(I58-8.5/24)*24),"")</f>
        <v/>
      </c>
      <c r="N58" s="197">
        <f>IF(B58=7,(SUM(K58:K64)),"")</f>
        <v>-4.7499999999999991</v>
      </c>
      <c r="P58" s="197"/>
    </row>
    <row r="59" spans="1:16" x14ac:dyDescent="0.25">
      <c r="A59" s="36">
        <v>46130</v>
      </c>
      <c r="B59" s="198">
        <f t="shared" si="99"/>
        <v>6</v>
      </c>
      <c r="C59" t="str">
        <f t="shared" si="100"/>
        <v>Sa</v>
      </c>
      <c r="F59" s="193" t="b">
        <f t="shared" ref="F59:F64" si="103">AND(NOT(ISBLANK(D59)),NOT(ISBLANK(E59)))</f>
        <v>0</v>
      </c>
      <c r="G59" s="193" t="str">
        <f t="shared" ref="G59:G64" si="104">IF(F59,IF(AND(H59&gt;6/24,H59&lt;=9.5/24),0.5/24,IF(H59&gt;9.5/24,0.75/24,0)),"")</f>
        <v/>
      </c>
      <c r="H59" s="193" t="str">
        <f t="shared" ref="H59:H64" si="105">IF(F59,E59-D59,"")</f>
        <v/>
      </c>
      <c r="I59" s="193" t="str">
        <f t="shared" ref="I59:I64" si="106">IF(F59,H59-G59,"")</f>
        <v/>
      </c>
      <c r="J59" s="23">
        <f t="shared" si="101"/>
        <v>0</v>
      </c>
      <c r="K59" s="199" t="str">
        <f t="shared" si="102"/>
        <v/>
      </c>
      <c r="N59" s="197" t="str">
        <f t="shared" ref="N59:N122" si="107">IF(B59=7,(SUM(K59:K65)),"")</f>
        <v/>
      </c>
      <c r="O59" s="190"/>
      <c r="P59" s="197"/>
    </row>
    <row r="60" spans="1:16" x14ac:dyDescent="0.25">
      <c r="A60" s="36">
        <v>46129</v>
      </c>
      <c r="B60" s="198">
        <f t="shared" si="99"/>
        <v>5</v>
      </c>
      <c r="C60" t="str">
        <f t="shared" si="100"/>
        <v>Fr</v>
      </c>
      <c r="D60" s="193">
        <v>0.35416666666666669</v>
      </c>
      <c r="E60" s="193">
        <v>0.54166666666666663</v>
      </c>
      <c r="F60" s="193" t="b">
        <f t="shared" si="103"/>
        <v>1</v>
      </c>
      <c r="G60" s="193">
        <f t="shared" si="104"/>
        <v>0</v>
      </c>
      <c r="H60" s="193">
        <f t="shared" si="105"/>
        <v>0.18749999999999994</v>
      </c>
      <c r="I60" s="193">
        <f t="shared" si="106"/>
        <v>0.18749999999999994</v>
      </c>
      <c r="J60" s="23">
        <f t="shared" si="101"/>
        <v>0.60416666666666663</v>
      </c>
      <c r="K60" s="199">
        <f t="shared" si="102"/>
        <v>-1.5000000000000013</v>
      </c>
      <c r="N60" s="197" t="str">
        <f t="shared" si="107"/>
        <v/>
      </c>
      <c r="O60" s="190"/>
      <c r="P60" s="197"/>
    </row>
    <row r="61" spans="1:16" x14ac:dyDescent="0.25">
      <c r="A61" s="36">
        <v>46128</v>
      </c>
      <c r="B61" s="198">
        <f t="shared" si="99"/>
        <v>4</v>
      </c>
      <c r="C61" t="str">
        <f t="shared" si="100"/>
        <v>Do</v>
      </c>
      <c r="D61" s="193">
        <v>0.30208333333333331</v>
      </c>
      <c r="E61" s="194">
        <v>0.6875</v>
      </c>
      <c r="F61" s="193" t="b">
        <f t="shared" si="103"/>
        <v>1</v>
      </c>
      <c r="G61" s="193">
        <v>3.125E-2</v>
      </c>
      <c r="H61" s="193">
        <f t="shared" si="105"/>
        <v>0.38541666666666669</v>
      </c>
      <c r="I61" s="193">
        <f t="shared" si="106"/>
        <v>0.35416666666666669</v>
      </c>
      <c r="J61" s="23">
        <f t="shared" si="101"/>
        <v>0.67708333333333337</v>
      </c>
      <c r="K61" s="199">
        <f>IF(F61,IF(B61=5,(I61-6/24)*24,(I61-8.5/24)*24),"")</f>
        <v>0</v>
      </c>
      <c r="M61" s="213" t="s">
        <v>277</v>
      </c>
      <c r="N61" s="197" t="str">
        <f t="shared" si="107"/>
        <v/>
      </c>
      <c r="O61" s="190"/>
      <c r="P61" s="197"/>
    </row>
    <row r="62" spans="1:16" x14ac:dyDescent="0.25">
      <c r="A62" s="36">
        <v>46127</v>
      </c>
      <c r="B62" s="198">
        <f>WEEKDAY(A62,2)</f>
        <v>3</v>
      </c>
      <c r="C62" t="str">
        <f>IF(B62=1,"Mo",IF(B62=2,"Di",IF(B62=3,"Mi",IF(B62=4,"Do",IF(B62=5,"Fr",IF(B62=6,"Sa",IF(B62=7,"So","")))))))</f>
        <v>Mi</v>
      </c>
      <c r="D62" s="193">
        <v>0.33333333333333331</v>
      </c>
      <c r="E62" s="194">
        <v>0.63541666666666663</v>
      </c>
      <c r="F62" s="193" t="b">
        <f t="shared" si="103"/>
        <v>1</v>
      </c>
      <c r="G62" s="193">
        <f t="shared" si="104"/>
        <v>2.0833333333333332E-2</v>
      </c>
      <c r="H62" s="193">
        <f t="shared" si="105"/>
        <v>0.30208333333333331</v>
      </c>
      <c r="I62" s="193">
        <f t="shared" si="106"/>
        <v>0.28125</v>
      </c>
      <c r="J62" s="23">
        <f>IF(B62&lt;5,((0.5+8.5+(D62*24))/24),IF(B62=5,((6+(D62*24))/24),))</f>
        <v>0.70833333333333337</v>
      </c>
      <c r="K62" s="199">
        <f>IF(F62,IF(B62=5,(I62-6/24)*24,(I62-8.5/24)*24),"")</f>
        <v>-1.7500000000000004</v>
      </c>
      <c r="N62" s="197" t="str">
        <f t="shared" si="107"/>
        <v/>
      </c>
      <c r="O62" s="190"/>
      <c r="P62" s="197"/>
    </row>
    <row r="63" spans="1:16" x14ac:dyDescent="0.25">
      <c r="A63" s="36">
        <v>46126</v>
      </c>
      <c r="B63" s="198">
        <f t="shared" ref="B63:B64" si="108">WEEKDAY(A63,2)</f>
        <v>2</v>
      </c>
      <c r="C63" t="str">
        <f t="shared" ref="C63:C64" si="109">IF(B63=1,"Mo",IF(B63=2,"Di",IF(B63=3,"Mi",IF(B63=4,"Do",IF(B63=5,"Fr",IF(B63=6,"Sa",IF(B63=7,"So","")))))))</f>
        <v>Di</v>
      </c>
      <c r="D63" s="193">
        <v>0.33333333333333331</v>
      </c>
      <c r="E63" s="194">
        <v>0.70833333333333337</v>
      </c>
      <c r="F63" s="193" t="b">
        <f t="shared" si="103"/>
        <v>1</v>
      </c>
      <c r="G63" s="193">
        <f t="shared" si="104"/>
        <v>2.0833333333333332E-2</v>
      </c>
      <c r="H63" s="193">
        <f t="shared" si="105"/>
        <v>0.37500000000000006</v>
      </c>
      <c r="I63" s="193">
        <f t="shared" si="106"/>
        <v>0.35416666666666674</v>
      </c>
      <c r="J63" s="23">
        <f t="shared" ref="J63:J64" si="110">IF(B63&lt;5,((0.5+8.5+(D63*24))/24),IF(B63=5,((6+(D63*24))/24),))</f>
        <v>0.70833333333333337</v>
      </c>
      <c r="K63" s="199">
        <f t="shared" ref="K63:K126" si="111">IF(F63,IF(B63=5,(I63-6/24)*24,(I63-8.5/24)*24),"")</f>
        <v>1.3322676295501878E-15</v>
      </c>
      <c r="M63" s="213" t="s">
        <v>277</v>
      </c>
      <c r="N63" s="197" t="str">
        <f t="shared" si="107"/>
        <v/>
      </c>
      <c r="O63" s="190"/>
      <c r="P63" s="197"/>
    </row>
    <row r="64" spans="1:16" x14ac:dyDescent="0.25">
      <c r="A64" s="36">
        <v>46125</v>
      </c>
      <c r="B64" s="198">
        <f t="shared" si="108"/>
        <v>1</v>
      </c>
      <c r="C64" t="str">
        <f t="shared" si="109"/>
        <v>Mo</v>
      </c>
      <c r="D64" s="193">
        <v>0.33333333333333331</v>
      </c>
      <c r="E64" s="194">
        <v>0.64583333333333337</v>
      </c>
      <c r="F64" s="193" t="b">
        <f t="shared" si="103"/>
        <v>1</v>
      </c>
      <c r="G64" s="193">
        <f t="shared" si="104"/>
        <v>2.0833333333333332E-2</v>
      </c>
      <c r="H64" s="193">
        <f t="shared" si="105"/>
        <v>0.31250000000000006</v>
      </c>
      <c r="I64" s="193">
        <f t="shared" si="106"/>
        <v>0.29166666666666674</v>
      </c>
      <c r="J64" s="23">
        <f t="shared" si="110"/>
        <v>0.70833333333333337</v>
      </c>
      <c r="K64" s="199">
        <f t="shared" si="111"/>
        <v>-1.4999999999999987</v>
      </c>
      <c r="N64" s="197" t="str">
        <f t="shared" si="107"/>
        <v/>
      </c>
      <c r="O64" s="191"/>
      <c r="P64" s="177"/>
    </row>
    <row r="65" spans="1:22" x14ac:dyDescent="0.25">
      <c r="A65" s="36">
        <v>46124</v>
      </c>
      <c r="B65" s="198">
        <f t="shared" ref="B65:B68" si="112">WEEKDAY(A65,2)</f>
        <v>7</v>
      </c>
      <c r="C65" t="str">
        <f t="shared" ref="C65:C68" si="113">IF(B65=1,"Mo",IF(B65=2,"Di",IF(B65=3,"Mi",IF(B65=4,"Do",IF(B65=5,"Fr",IF(B65=6,"Sa",IF(B65=7,"So","")))))))</f>
        <v>So</v>
      </c>
      <c r="F65" s="193" t="b">
        <f>AND(NOT(ISBLANK(D65)),NOT(ISBLANK(E65)))</f>
        <v>0</v>
      </c>
      <c r="G65" s="193" t="str">
        <f>IF(F65,IF(AND(H65&gt;6/24,H65&lt;=9.5/24),0.5/24,IF(H65&gt;9.5/24,0.75/24,0)),"")</f>
        <v/>
      </c>
      <c r="H65" s="193" t="str">
        <f>IF(F65,E65-D65,"")</f>
        <v/>
      </c>
      <c r="I65" s="193" t="str">
        <f>IF(F65,H65-G65,"")</f>
        <v/>
      </c>
      <c r="J65" s="23">
        <f t="shared" ref="J65:J68" si="114">IF(B65&lt;5,((0.5+8.5+(D65*24))/24),IF(B65=5,((6+(D65*24))/24),))</f>
        <v>0</v>
      </c>
      <c r="K65" s="199" t="str">
        <f t="shared" si="111"/>
        <v/>
      </c>
      <c r="N65" s="197">
        <f t="shared" si="107"/>
        <v>0</v>
      </c>
      <c r="P65" s="177"/>
    </row>
    <row r="66" spans="1:22" x14ac:dyDescent="0.25">
      <c r="A66" s="36">
        <v>46123</v>
      </c>
      <c r="B66" s="198">
        <f t="shared" si="112"/>
        <v>6</v>
      </c>
      <c r="C66" t="str">
        <f t="shared" si="113"/>
        <v>Sa</v>
      </c>
      <c r="F66" s="193" t="b">
        <f t="shared" ref="F66:F129" si="115">AND(NOT(ISBLANK(D66)),NOT(ISBLANK(E66)))</f>
        <v>0</v>
      </c>
      <c r="G66" s="193" t="str">
        <f t="shared" ref="G66:G129" si="116">IF(F66,IF(AND(H66&gt;6/24,H66&lt;=9.5/24),0.5/24,IF(H66&gt;9.5/24,0.75/24,0)),"")</f>
        <v/>
      </c>
      <c r="H66" s="193" t="str">
        <f t="shared" ref="H66:H111" si="117">IF(F66,E66-D66,"")</f>
        <v/>
      </c>
      <c r="I66" s="193" t="str">
        <f t="shared" ref="I66:I111" si="118">IF(F66,H66-G66,"")</f>
        <v/>
      </c>
      <c r="J66" s="23">
        <f t="shared" si="114"/>
        <v>0</v>
      </c>
      <c r="K66" s="199" t="str">
        <f t="shared" si="111"/>
        <v/>
      </c>
      <c r="N66" s="197" t="str">
        <f t="shared" si="107"/>
        <v/>
      </c>
      <c r="P66" s="177"/>
    </row>
    <row r="67" spans="1:22" x14ac:dyDescent="0.25">
      <c r="A67" s="36">
        <v>46122</v>
      </c>
      <c r="B67" s="198">
        <f t="shared" si="112"/>
        <v>5</v>
      </c>
      <c r="C67" t="str">
        <f t="shared" si="113"/>
        <v>Fr</v>
      </c>
      <c r="D67" s="193">
        <v>0.3125</v>
      </c>
      <c r="E67" s="193">
        <v>0.53125</v>
      </c>
      <c r="F67" s="193" t="b">
        <f t="shared" si="115"/>
        <v>1</v>
      </c>
      <c r="G67" s="193">
        <f t="shared" si="116"/>
        <v>0</v>
      </c>
      <c r="H67" s="193">
        <f t="shared" si="117"/>
        <v>0.21875</v>
      </c>
      <c r="I67" s="193">
        <f t="shared" si="118"/>
        <v>0.21875</v>
      </c>
      <c r="J67" s="23">
        <f t="shared" si="114"/>
        <v>0.5625</v>
      </c>
      <c r="K67" s="199">
        <f t="shared" si="111"/>
        <v>-0.75</v>
      </c>
      <c r="M67" s="213" t="s">
        <v>277</v>
      </c>
      <c r="N67" s="197" t="str">
        <f t="shared" si="107"/>
        <v/>
      </c>
      <c r="P67" s="177"/>
    </row>
    <row r="68" spans="1:22" x14ac:dyDescent="0.25">
      <c r="A68" s="36">
        <v>46121</v>
      </c>
      <c r="B68" s="198">
        <f t="shared" si="112"/>
        <v>4</v>
      </c>
      <c r="C68" t="str">
        <f t="shared" si="113"/>
        <v>Do</v>
      </c>
      <c r="D68" s="193">
        <v>0.3125</v>
      </c>
      <c r="E68" s="194">
        <v>0.65625</v>
      </c>
      <c r="F68" s="193" t="b">
        <f t="shared" si="115"/>
        <v>1</v>
      </c>
      <c r="G68" s="193">
        <f t="shared" si="116"/>
        <v>2.0833333333333332E-2</v>
      </c>
      <c r="H68" s="193">
        <f t="shared" si="117"/>
        <v>0.34375</v>
      </c>
      <c r="I68" s="193">
        <f t="shared" si="118"/>
        <v>0.32291666666666669</v>
      </c>
      <c r="J68" s="23">
        <f t="shared" si="114"/>
        <v>0.6875</v>
      </c>
      <c r="K68" s="199">
        <f t="shared" si="111"/>
        <v>-0.75</v>
      </c>
      <c r="M68" s="195"/>
      <c r="N68" s="197" t="str">
        <f t="shared" si="107"/>
        <v/>
      </c>
      <c r="P68" s="177"/>
    </row>
    <row r="69" spans="1:22" x14ac:dyDescent="0.25">
      <c r="A69" s="36">
        <v>46120</v>
      </c>
      <c r="B69" s="198">
        <f>WEEKDAY(A69,2)</f>
        <v>3</v>
      </c>
      <c r="C69" t="str">
        <f>IF(B69=1,"Mo",IF(B69=2,"Di",IF(B69=3,"Mi",IF(B69=4,"Do",IF(B69=5,"Fr",IF(B69=6,"Sa",IF(B69=7,"So","")))))))</f>
        <v>Mi</v>
      </c>
      <c r="D69" s="193">
        <v>0.29166666666666669</v>
      </c>
      <c r="E69" s="194">
        <v>0.70833333333333337</v>
      </c>
      <c r="F69" s="193" t="b">
        <f t="shared" si="115"/>
        <v>1</v>
      </c>
      <c r="G69" s="193">
        <f t="shared" si="116"/>
        <v>3.125E-2</v>
      </c>
      <c r="H69" s="193">
        <f t="shared" si="117"/>
        <v>0.41666666666666669</v>
      </c>
      <c r="I69" s="193">
        <f t="shared" si="118"/>
        <v>0.38541666666666669</v>
      </c>
      <c r="J69" s="23">
        <f>IF(B69&lt;5,((0.5+8.5+(D69*24))/24),IF(B69=5,((6+(D69*24))/24),))</f>
        <v>0.66666666666666663</v>
      </c>
      <c r="K69" s="199">
        <f t="shared" si="111"/>
        <v>0.75</v>
      </c>
      <c r="M69" s="213" t="s">
        <v>277</v>
      </c>
      <c r="N69" s="197" t="str">
        <f t="shared" si="107"/>
        <v/>
      </c>
      <c r="P69" s="177"/>
    </row>
    <row r="70" spans="1:22" x14ac:dyDescent="0.25">
      <c r="A70" s="36">
        <v>46119</v>
      </c>
      <c r="B70" s="198">
        <f t="shared" ref="B70:B71" si="119">WEEKDAY(A70,2)</f>
        <v>2</v>
      </c>
      <c r="C70" t="str">
        <f t="shared" ref="C70:C71" si="120">IF(B70=1,"Mo",IF(B70=2,"Di",IF(B70=3,"Mi",IF(B70=4,"Do",IF(B70=5,"Fr",IF(B70=6,"Sa",IF(B70=7,"So","")))))))</f>
        <v>Di</v>
      </c>
      <c r="D70" s="193">
        <v>0.32291666666666669</v>
      </c>
      <c r="E70" s="194">
        <v>0.73958333333333337</v>
      </c>
      <c r="F70" s="193" t="b">
        <f t="shared" si="115"/>
        <v>1</v>
      </c>
      <c r="G70" s="193">
        <f t="shared" si="116"/>
        <v>3.125E-2</v>
      </c>
      <c r="H70" s="193">
        <f t="shared" si="117"/>
        <v>0.41666666666666669</v>
      </c>
      <c r="I70" s="193">
        <f t="shared" si="118"/>
        <v>0.38541666666666669</v>
      </c>
      <c r="J70" s="23">
        <f t="shared" ref="J70:J71" si="121">IF(B70&lt;5,((0.5+8.5+(D70*24))/24),IF(B70=5,((6+(D70*24))/24),))</f>
        <v>0.69791666666666663</v>
      </c>
      <c r="K70" s="199">
        <f t="shared" si="111"/>
        <v>0.75</v>
      </c>
      <c r="N70" s="197" t="str">
        <f t="shared" si="107"/>
        <v/>
      </c>
      <c r="P70" s="177"/>
    </row>
    <row r="71" spans="1:22" x14ac:dyDescent="0.25">
      <c r="A71" s="36">
        <v>46118</v>
      </c>
      <c r="B71" s="198">
        <f t="shared" si="119"/>
        <v>1</v>
      </c>
      <c r="C71" t="str">
        <f t="shared" si="120"/>
        <v>Mo</v>
      </c>
      <c r="E71" s="194"/>
      <c r="F71" s="193" t="b">
        <f t="shared" si="115"/>
        <v>0</v>
      </c>
      <c r="G71" s="193" t="str">
        <f t="shared" si="116"/>
        <v/>
      </c>
      <c r="H71" s="193" t="str">
        <f t="shared" si="117"/>
        <v/>
      </c>
      <c r="I71" s="193" t="str">
        <f t="shared" si="118"/>
        <v/>
      </c>
      <c r="J71" s="23">
        <f t="shared" si="121"/>
        <v>0.375</v>
      </c>
      <c r="K71" s="199" t="str">
        <f t="shared" si="111"/>
        <v/>
      </c>
      <c r="L71" t="s">
        <v>25</v>
      </c>
      <c r="N71" s="197" t="str">
        <f t="shared" si="107"/>
        <v/>
      </c>
      <c r="P71" s="177"/>
    </row>
    <row r="72" spans="1:22" x14ac:dyDescent="0.25">
      <c r="A72" s="36">
        <v>46117</v>
      </c>
      <c r="B72" s="198">
        <f t="shared" ref="B72:B75" si="122">WEEKDAY(A72,2)</f>
        <v>7</v>
      </c>
      <c r="C72" t="str">
        <f t="shared" ref="C72:C75" si="123">IF(B72=1,"Mo",IF(B72=2,"Di",IF(B72=3,"Mi",IF(B72=4,"Do",IF(B72=5,"Fr",IF(B72=6,"Sa",IF(B72=7,"So","")))))))</f>
        <v>So</v>
      </c>
      <c r="F72" s="193" t="b">
        <f t="shared" si="115"/>
        <v>0</v>
      </c>
      <c r="G72" s="193" t="str">
        <f t="shared" si="116"/>
        <v/>
      </c>
      <c r="H72" s="193" t="str">
        <f t="shared" si="117"/>
        <v/>
      </c>
      <c r="I72" s="193" t="str">
        <f t="shared" si="118"/>
        <v/>
      </c>
      <c r="J72" s="23">
        <f t="shared" ref="J72" si="124">IF(B72&lt;5,((0.5+8.5+(D72*24))/24),IF(B72=5,((6+(D72*24))/24),))</f>
        <v>0</v>
      </c>
      <c r="K72" s="199" t="str">
        <f t="shared" si="111"/>
        <v/>
      </c>
      <c r="N72" s="197">
        <f t="shared" si="107"/>
        <v>-2.6645352591003757E-15</v>
      </c>
      <c r="P72" s="177"/>
    </row>
    <row r="73" spans="1:22" x14ac:dyDescent="0.25">
      <c r="A73" s="36">
        <v>46116</v>
      </c>
      <c r="B73" s="198">
        <f t="shared" si="122"/>
        <v>6</v>
      </c>
      <c r="C73" t="str">
        <f t="shared" si="123"/>
        <v>Sa</v>
      </c>
      <c r="F73" s="193" t="b">
        <f t="shared" si="115"/>
        <v>0</v>
      </c>
      <c r="G73" s="193" t="str">
        <f t="shared" si="116"/>
        <v/>
      </c>
      <c r="H73" s="193" t="str">
        <f t="shared" si="117"/>
        <v/>
      </c>
      <c r="I73" s="193" t="str">
        <f t="shared" si="118"/>
        <v/>
      </c>
      <c r="J73" s="23">
        <f t="shared" ref="J73:J75" si="125">IF(B73&lt;5,((0.5+8.5+(D73*24))/24),IF(B73=5,((6+(D73*24))/24),))</f>
        <v>0</v>
      </c>
      <c r="K73" s="199" t="str">
        <f t="shared" si="111"/>
        <v/>
      </c>
      <c r="N73" s="197" t="str">
        <f t="shared" si="107"/>
        <v/>
      </c>
      <c r="P73" s="177"/>
      <c r="T73" s="36"/>
      <c r="U73" s="192"/>
      <c r="V73" s="192"/>
    </row>
    <row r="74" spans="1:22" x14ac:dyDescent="0.25">
      <c r="A74" s="36">
        <v>46115</v>
      </c>
      <c r="B74" s="198">
        <f t="shared" si="122"/>
        <v>5</v>
      </c>
      <c r="C74" t="str">
        <f t="shared" si="123"/>
        <v>Fr</v>
      </c>
      <c r="F74" s="193" t="b">
        <f t="shared" si="115"/>
        <v>0</v>
      </c>
      <c r="G74" s="193" t="str">
        <f t="shared" si="116"/>
        <v/>
      </c>
      <c r="H74" s="193" t="str">
        <f t="shared" si="117"/>
        <v/>
      </c>
      <c r="I74" s="193" t="str">
        <f t="shared" si="118"/>
        <v/>
      </c>
      <c r="J74" s="23">
        <f t="shared" si="125"/>
        <v>0.25</v>
      </c>
      <c r="K74" s="199" t="str">
        <f t="shared" si="111"/>
        <v/>
      </c>
      <c r="L74" t="s">
        <v>25</v>
      </c>
      <c r="N74" s="197" t="str">
        <f t="shared" si="107"/>
        <v/>
      </c>
      <c r="P74" s="177"/>
      <c r="T74" s="36"/>
      <c r="U74" s="192"/>
      <c r="V74" s="192"/>
    </row>
    <row r="75" spans="1:22" x14ac:dyDescent="0.25">
      <c r="A75" s="36">
        <v>46114</v>
      </c>
      <c r="B75" s="198">
        <f t="shared" si="122"/>
        <v>4</v>
      </c>
      <c r="C75" t="str">
        <f t="shared" si="123"/>
        <v>Do</v>
      </c>
      <c r="D75" s="193">
        <v>0.35416666666666669</v>
      </c>
      <c r="E75" s="194">
        <v>0.66666666666666663</v>
      </c>
      <c r="F75" s="193" t="b">
        <f t="shared" si="115"/>
        <v>1</v>
      </c>
      <c r="G75" s="193">
        <f t="shared" si="116"/>
        <v>2.0833333333333332E-2</v>
      </c>
      <c r="H75" s="193">
        <f t="shared" si="117"/>
        <v>0.31249999999999994</v>
      </c>
      <c r="I75" s="193">
        <f t="shared" si="118"/>
        <v>0.29166666666666663</v>
      </c>
      <c r="J75" s="23">
        <f t="shared" si="125"/>
        <v>0.72916666666666663</v>
      </c>
      <c r="K75" s="199">
        <f t="shared" si="111"/>
        <v>-1.5000000000000013</v>
      </c>
      <c r="M75" s="195"/>
      <c r="N75" s="197" t="str">
        <f t="shared" si="107"/>
        <v/>
      </c>
      <c r="O75" s="191"/>
      <c r="P75" s="177"/>
      <c r="T75" s="36"/>
      <c r="U75" s="192"/>
      <c r="V75" s="192"/>
    </row>
    <row r="76" spans="1:22" x14ac:dyDescent="0.25">
      <c r="A76" s="36">
        <v>46113</v>
      </c>
      <c r="B76" s="198">
        <f>WEEKDAY(A76,2)</f>
        <v>3</v>
      </c>
      <c r="C76" t="str">
        <f>IF(B76=1,"Mo",IF(B76=2,"Di",IF(B76=3,"Mi",IF(B76=4,"Do",IF(B76=5,"Fr",IF(B76=6,"Sa",IF(B76=7,"So","")))))))</f>
        <v>Mi</v>
      </c>
      <c r="D76" s="193">
        <v>0.3125</v>
      </c>
      <c r="E76" s="194">
        <v>0.72916666666666663</v>
      </c>
      <c r="F76" s="193" t="b">
        <f t="shared" si="115"/>
        <v>1</v>
      </c>
      <c r="G76" s="193">
        <f t="shared" si="116"/>
        <v>3.125E-2</v>
      </c>
      <c r="H76" s="193">
        <f t="shared" si="117"/>
        <v>0.41666666666666663</v>
      </c>
      <c r="I76" s="193">
        <f t="shared" si="118"/>
        <v>0.38541666666666663</v>
      </c>
      <c r="J76" s="23">
        <f>IF(B76&lt;5,((0.5+8.5+(D76*24))/24),IF(B76=5,((6+(D76*24))/24),))</f>
        <v>0.6875</v>
      </c>
      <c r="K76" s="199">
        <f t="shared" si="111"/>
        <v>0.74999999999999867</v>
      </c>
      <c r="M76" s="213" t="s">
        <v>277</v>
      </c>
      <c r="N76" s="197" t="str">
        <f t="shared" si="107"/>
        <v/>
      </c>
      <c r="O76" s="191"/>
      <c r="P76" s="177"/>
      <c r="T76" s="36"/>
      <c r="U76" s="192"/>
      <c r="V76" s="192"/>
    </row>
    <row r="77" spans="1:22" x14ac:dyDescent="0.25">
      <c r="A77" s="36">
        <v>46112</v>
      </c>
      <c r="B77" s="198">
        <f t="shared" ref="B77:B135" si="126">WEEKDAY(A77,2)</f>
        <v>2</v>
      </c>
      <c r="C77" t="str">
        <f t="shared" ref="C77:C135" si="127">IF(B77=1,"Mo",IF(B77=2,"Di",IF(B77=3,"Mi",IF(B77=4,"Do",IF(B77=5,"Fr",IF(B77=6,"Sa",IF(B77=7,"So","")))))))</f>
        <v>Di</v>
      </c>
      <c r="D77" s="193">
        <v>0.33333333333333331</v>
      </c>
      <c r="E77" s="194">
        <v>0.71875</v>
      </c>
      <c r="F77" s="193" t="b">
        <f t="shared" si="115"/>
        <v>1</v>
      </c>
      <c r="G77" s="193">
        <f t="shared" si="116"/>
        <v>2.0833333333333332E-2</v>
      </c>
      <c r="H77" s="193">
        <f t="shared" si="117"/>
        <v>0.38541666666666669</v>
      </c>
      <c r="I77" s="193">
        <f t="shared" si="118"/>
        <v>0.36458333333333337</v>
      </c>
      <c r="J77" s="23">
        <f t="shared" ref="J77:J135" si="128">IF(B77&lt;5,((0.5+8.5+(D77*24))/24),IF(B77=5,((6+(D77*24))/24),))</f>
        <v>0.70833333333333337</v>
      </c>
      <c r="K77" s="199">
        <f t="shared" si="111"/>
        <v>0.25000000000000044</v>
      </c>
      <c r="N77" s="197" t="str">
        <f t="shared" si="107"/>
        <v/>
      </c>
      <c r="O77" s="191"/>
      <c r="P77" s="177"/>
      <c r="T77" s="36"/>
      <c r="U77" s="192"/>
      <c r="V77" s="192"/>
    </row>
    <row r="78" spans="1:22" x14ac:dyDescent="0.25">
      <c r="A78" s="36">
        <v>46111</v>
      </c>
      <c r="B78" s="198">
        <f t="shared" si="126"/>
        <v>1</v>
      </c>
      <c r="C78" t="str">
        <f t="shared" si="127"/>
        <v>Mo</v>
      </c>
      <c r="D78" s="193">
        <v>0.30208333333333331</v>
      </c>
      <c r="E78" s="194">
        <v>0.69791666666666663</v>
      </c>
      <c r="F78" s="193" t="b">
        <f t="shared" si="115"/>
        <v>1</v>
      </c>
      <c r="G78" s="193">
        <f t="shared" si="116"/>
        <v>2.0833333333333332E-2</v>
      </c>
      <c r="H78" s="193">
        <f t="shared" si="117"/>
        <v>0.39583333333333331</v>
      </c>
      <c r="I78" s="193">
        <f t="shared" si="118"/>
        <v>0.375</v>
      </c>
      <c r="J78" s="23">
        <f t="shared" si="128"/>
        <v>0.67708333333333337</v>
      </c>
      <c r="K78" s="199">
        <f t="shared" si="111"/>
        <v>0.49999999999999956</v>
      </c>
      <c r="N78" s="197" t="str">
        <f t="shared" si="107"/>
        <v/>
      </c>
      <c r="O78" s="191"/>
      <c r="S78" s="36"/>
      <c r="T78" s="7"/>
      <c r="U78" s="177"/>
    </row>
    <row r="79" spans="1:22" x14ac:dyDescent="0.25">
      <c r="A79" s="36">
        <v>46110</v>
      </c>
      <c r="B79" s="198">
        <f t="shared" si="126"/>
        <v>7</v>
      </c>
      <c r="C79" t="str">
        <f t="shared" si="127"/>
        <v>So</v>
      </c>
      <c r="F79" s="193" t="b">
        <f t="shared" si="115"/>
        <v>0</v>
      </c>
      <c r="G79" s="193" t="str">
        <f t="shared" si="116"/>
        <v/>
      </c>
      <c r="H79" s="193" t="str">
        <f t="shared" si="117"/>
        <v/>
      </c>
      <c r="I79" s="193" t="str">
        <f t="shared" si="118"/>
        <v/>
      </c>
      <c r="J79" s="23">
        <f t="shared" si="128"/>
        <v>0</v>
      </c>
      <c r="K79" s="199" t="str">
        <f t="shared" si="111"/>
        <v/>
      </c>
      <c r="N79" s="197">
        <f t="shared" si="107"/>
        <v>1.2499999999999982</v>
      </c>
      <c r="O79" s="191"/>
      <c r="S79" s="36"/>
      <c r="T79" s="192"/>
      <c r="U79" s="192"/>
    </row>
    <row r="80" spans="1:22" x14ac:dyDescent="0.25">
      <c r="A80" s="36">
        <v>46109</v>
      </c>
      <c r="B80" s="198">
        <f t="shared" si="126"/>
        <v>6</v>
      </c>
      <c r="C80" t="str">
        <f t="shared" si="127"/>
        <v>Sa</v>
      </c>
      <c r="F80" s="193" t="b">
        <f t="shared" si="115"/>
        <v>0</v>
      </c>
      <c r="G80" s="193" t="str">
        <f t="shared" si="116"/>
        <v/>
      </c>
      <c r="H80" s="193" t="str">
        <f t="shared" si="117"/>
        <v/>
      </c>
      <c r="I80" s="193" t="str">
        <f t="shared" si="118"/>
        <v/>
      </c>
      <c r="J80" s="23">
        <f t="shared" si="128"/>
        <v>0</v>
      </c>
      <c r="K80" s="199" t="str">
        <f t="shared" si="111"/>
        <v/>
      </c>
      <c r="N80" s="197" t="str">
        <f t="shared" si="107"/>
        <v/>
      </c>
    </row>
    <row r="81" spans="1:22" x14ac:dyDescent="0.25">
      <c r="A81" s="36">
        <v>46108</v>
      </c>
      <c r="B81" s="198">
        <f t="shared" si="126"/>
        <v>5</v>
      </c>
      <c r="C81" t="str">
        <f t="shared" si="127"/>
        <v>Fr</v>
      </c>
      <c r="D81" s="193">
        <v>0.26041666666666669</v>
      </c>
      <c r="E81" s="194">
        <v>0.51041666666666663</v>
      </c>
      <c r="F81" s="193" t="b">
        <f t="shared" si="115"/>
        <v>1</v>
      </c>
      <c r="G81" s="193">
        <f t="shared" si="116"/>
        <v>0</v>
      </c>
      <c r="H81" s="193">
        <f t="shared" si="117"/>
        <v>0.24999999999999994</v>
      </c>
      <c r="I81" s="193">
        <f t="shared" si="118"/>
        <v>0.24999999999999994</v>
      </c>
      <c r="J81" s="23">
        <f t="shared" si="128"/>
        <v>0.51041666666666663</v>
      </c>
      <c r="K81" s="199">
        <f t="shared" si="111"/>
        <v>-1.3322676295501878E-15</v>
      </c>
      <c r="N81" s="197" t="str">
        <f t="shared" si="107"/>
        <v/>
      </c>
    </row>
    <row r="82" spans="1:22" x14ac:dyDescent="0.25">
      <c r="A82" s="36">
        <v>46107</v>
      </c>
      <c r="B82" s="198">
        <f t="shared" si="126"/>
        <v>4</v>
      </c>
      <c r="C82" t="str">
        <f t="shared" si="127"/>
        <v>Do</v>
      </c>
      <c r="D82" s="193">
        <v>0.3125</v>
      </c>
      <c r="E82" s="194">
        <v>0.6875</v>
      </c>
      <c r="F82" s="193" t="b">
        <f t="shared" si="115"/>
        <v>1</v>
      </c>
      <c r="G82" s="193">
        <f t="shared" si="116"/>
        <v>2.0833333333333332E-2</v>
      </c>
      <c r="H82" s="193">
        <f t="shared" si="117"/>
        <v>0.375</v>
      </c>
      <c r="I82" s="193">
        <f t="shared" si="118"/>
        <v>0.35416666666666669</v>
      </c>
      <c r="J82" s="23">
        <f t="shared" si="128"/>
        <v>0.6875</v>
      </c>
      <c r="K82" s="199">
        <f t="shared" si="111"/>
        <v>0</v>
      </c>
      <c r="N82" s="197" t="str">
        <f t="shared" si="107"/>
        <v/>
      </c>
    </row>
    <row r="83" spans="1:22" x14ac:dyDescent="0.25">
      <c r="A83" s="36">
        <v>46106</v>
      </c>
      <c r="B83" s="198">
        <f t="shared" si="126"/>
        <v>3</v>
      </c>
      <c r="C83" t="str">
        <f t="shared" si="127"/>
        <v>Mi</v>
      </c>
      <c r="D83" s="193">
        <v>0.3125</v>
      </c>
      <c r="E83" s="194">
        <v>0.69791666666666663</v>
      </c>
      <c r="F83" s="193" t="b">
        <f t="shared" si="115"/>
        <v>1</v>
      </c>
      <c r="G83" s="193">
        <f t="shared" si="116"/>
        <v>2.0833333333333332E-2</v>
      </c>
      <c r="H83" s="193">
        <f t="shared" si="117"/>
        <v>0.38541666666666663</v>
      </c>
      <c r="I83" s="193">
        <f t="shared" si="118"/>
        <v>0.36458333333333331</v>
      </c>
      <c r="J83" s="23">
        <f t="shared" si="128"/>
        <v>0.6875</v>
      </c>
      <c r="K83" s="199">
        <f t="shared" si="111"/>
        <v>0.24999999999999911</v>
      </c>
      <c r="N83" s="197" t="str">
        <f t="shared" si="107"/>
        <v/>
      </c>
      <c r="T83" s="36"/>
      <c r="U83" s="192"/>
      <c r="V83" s="192"/>
    </row>
    <row r="84" spans="1:22" x14ac:dyDescent="0.25">
      <c r="A84" s="36">
        <v>46105</v>
      </c>
      <c r="B84" s="198">
        <f t="shared" si="126"/>
        <v>2</v>
      </c>
      <c r="C84" t="str">
        <f t="shared" si="127"/>
        <v>Di</v>
      </c>
      <c r="D84" s="193">
        <v>0.3125</v>
      </c>
      <c r="E84" s="194">
        <v>0.71875</v>
      </c>
      <c r="F84" s="193" t="b">
        <f t="shared" si="115"/>
        <v>1</v>
      </c>
      <c r="G84" s="193">
        <f t="shared" si="116"/>
        <v>3.125E-2</v>
      </c>
      <c r="H84" s="193">
        <f t="shared" si="117"/>
        <v>0.40625</v>
      </c>
      <c r="I84" s="193">
        <f t="shared" si="118"/>
        <v>0.375</v>
      </c>
      <c r="J84" s="23">
        <f t="shared" si="128"/>
        <v>0.6875</v>
      </c>
      <c r="K84" s="199">
        <f t="shared" si="111"/>
        <v>0.49999999999999956</v>
      </c>
      <c r="M84" s="190"/>
      <c r="N84" s="197" t="str">
        <f t="shared" si="107"/>
        <v/>
      </c>
      <c r="T84" s="36"/>
      <c r="U84" s="192"/>
      <c r="V84" s="192"/>
    </row>
    <row r="85" spans="1:22" x14ac:dyDescent="0.25">
      <c r="A85" s="36">
        <v>46104</v>
      </c>
      <c r="B85" s="198">
        <f t="shared" si="126"/>
        <v>1</v>
      </c>
      <c r="C85" t="str">
        <f t="shared" si="127"/>
        <v>Mo</v>
      </c>
      <c r="D85" s="193">
        <v>0.34375</v>
      </c>
      <c r="E85" s="194">
        <v>0.73958333333333337</v>
      </c>
      <c r="F85" s="193" t="b">
        <f t="shared" si="115"/>
        <v>1</v>
      </c>
      <c r="G85" s="193">
        <f t="shared" si="116"/>
        <v>2.0833333333333332E-2</v>
      </c>
      <c r="H85" s="193">
        <f t="shared" si="117"/>
        <v>0.39583333333333337</v>
      </c>
      <c r="I85" s="193">
        <f t="shared" si="118"/>
        <v>0.37500000000000006</v>
      </c>
      <c r="J85" s="23">
        <f t="shared" si="128"/>
        <v>0.71875</v>
      </c>
      <c r="K85" s="199">
        <f t="shared" si="111"/>
        <v>0.50000000000000089</v>
      </c>
      <c r="M85" s="191"/>
      <c r="N85" s="197" t="str">
        <f t="shared" si="107"/>
        <v/>
      </c>
      <c r="T85" s="36"/>
      <c r="U85" s="192"/>
      <c r="V85" s="192"/>
    </row>
    <row r="86" spans="1:22" x14ac:dyDescent="0.25">
      <c r="A86" s="36">
        <v>46103</v>
      </c>
      <c r="B86" s="198">
        <f t="shared" si="126"/>
        <v>7</v>
      </c>
      <c r="C86" t="str">
        <f t="shared" si="127"/>
        <v>So</v>
      </c>
      <c r="F86" s="193" t="b">
        <f t="shared" si="115"/>
        <v>0</v>
      </c>
      <c r="G86" s="193" t="str">
        <f t="shared" si="116"/>
        <v/>
      </c>
      <c r="H86" s="193" t="str">
        <f t="shared" si="117"/>
        <v/>
      </c>
      <c r="I86" s="193" t="str">
        <f t="shared" si="118"/>
        <v/>
      </c>
      <c r="J86" s="23">
        <f t="shared" si="128"/>
        <v>0</v>
      </c>
      <c r="K86" s="199" t="str">
        <f t="shared" si="111"/>
        <v/>
      </c>
      <c r="N86" s="197">
        <f t="shared" si="107"/>
        <v>0.25000000000000311</v>
      </c>
      <c r="T86" s="36"/>
      <c r="U86" s="192"/>
      <c r="V86" s="192"/>
    </row>
    <row r="87" spans="1:22" x14ac:dyDescent="0.25">
      <c r="A87" s="36">
        <v>46102</v>
      </c>
      <c r="B87" s="198">
        <f t="shared" si="126"/>
        <v>6</v>
      </c>
      <c r="C87" t="str">
        <f t="shared" si="127"/>
        <v>Sa</v>
      </c>
      <c r="F87" s="193" t="b">
        <f t="shared" si="115"/>
        <v>0</v>
      </c>
      <c r="G87" s="193" t="str">
        <f t="shared" si="116"/>
        <v/>
      </c>
      <c r="H87" s="193" t="str">
        <f t="shared" si="117"/>
        <v/>
      </c>
      <c r="I87" s="193" t="str">
        <f t="shared" si="118"/>
        <v/>
      </c>
      <c r="J87" s="23">
        <f t="shared" si="128"/>
        <v>0</v>
      </c>
      <c r="K87" s="199" t="str">
        <f t="shared" si="111"/>
        <v/>
      </c>
      <c r="N87" s="197" t="str">
        <f t="shared" si="107"/>
        <v/>
      </c>
      <c r="T87" s="36"/>
      <c r="U87" s="192"/>
      <c r="V87" s="192"/>
    </row>
    <row r="88" spans="1:22" x14ac:dyDescent="0.25">
      <c r="A88" s="36">
        <v>46101</v>
      </c>
      <c r="B88" s="198">
        <f t="shared" si="126"/>
        <v>5</v>
      </c>
      <c r="C88" t="str">
        <f t="shared" si="127"/>
        <v>Fr</v>
      </c>
      <c r="D88" s="193">
        <v>0.33333333333333331</v>
      </c>
      <c r="E88" s="194">
        <v>0.58333333333333337</v>
      </c>
      <c r="F88" s="193" t="b">
        <f t="shared" si="115"/>
        <v>1</v>
      </c>
      <c r="G88" s="193">
        <f t="shared" si="116"/>
        <v>0</v>
      </c>
      <c r="H88" s="193">
        <f t="shared" si="117"/>
        <v>0.25000000000000006</v>
      </c>
      <c r="I88" s="193">
        <f t="shared" si="118"/>
        <v>0.25000000000000006</v>
      </c>
      <c r="J88" s="23">
        <f t="shared" si="128"/>
        <v>0.58333333333333337</v>
      </c>
      <c r="K88" s="199">
        <f t="shared" si="111"/>
        <v>1.3322676295501878E-15</v>
      </c>
      <c r="N88" s="197" t="str">
        <f t="shared" si="107"/>
        <v/>
      </c>
    </row>
    <row r="89" spans="1:22" x14ac:dyDescent="0.25">
      <c r="A89" s="36">
        <v>46100</v>
      </c>
      <c r="B89" s="198">
        <f t="shared" si="126"/>
        <v>4</v>
      </c>
      <c r="C89" t="str">
        <f t="shared" si="127"/>
        <v>Do</v>
      </c>
      <c r="D89" s="193">
        <v>0.34375</v>
      </c>
      <c r="E89" s="194">
        <v>0.70833333333333337</v>
      </c>
      <c r="F89" s="193" t="b">
        <f t="shared" si="115"/>
        <v>1</v>
      </c>
      <c r="G89" s="193">
        <f t="shared" si="116"/>
        <v>2.0833333333333332E-2</v>
      </c>
      <c r="H89" s="193">
        <f t="shared" si="117"/>
        <v>0.36458333333333337</v>
      </c>
      <c r="I89" s="193">
        <f t="shared" si="118"/>
        <v>0.34375000000000006</v>
      </c>
      <c r="J89" s="23">
        <f t="shared" si="128"/>
        <v>0.71875</v>
      </c>
      <c r="K89" s="199">
        <f t="shared" si="111"/>
        <v>-0.24999999999999911</v>
      </c>
      <c r="N89" s="197" t="str">
        <f t="shared" si="107"/>
        <v/>
      </c>
    </row>
    <row r="90" spans="1:22" x14ac:dyDescent="0.25">
      <c r="A90" s="36">
        <v>46099</v>
      </c>
      <c r="B90" s="198">
        <f t="shared" si="126"/>
        <v>3</v>
      </c>
      <c r="C90" t="str">
        <f t="shared" si="127"/>
        <v>Mi</v>
      </c>
      <c r="D90" s="193">
        <v>0.32291666666666669</v>
      </c>
      <c r="E90" s="194">
        <v>0.67708333333333337</v>
      </c>
      <c r="F90" s="193" t="b">
        <f t="shared" si="115"/>
        <v>1</v>
      </c>
      <c r="G90" s="193">
        <f t="shared" si="116"/>
        <v>2.0833333333333332E-2</v>
      </c>
      <c r="H90" s="193">
        <f t="shared" si="117"/>
        <v>0.35416666666666669</v>
      </c>
      <c r="I90" s="193">
        <f t="shared" si="118"/>
        <v>0.33333333333333337</v>
      </c>
      <c r="J90" s="23">
        <f t="shared" si="128"/>
        <v>0.69791666666666663</v>
      </c>
      <c r="K90" s="199">
        <f t="shared" si="111"/>
        <v>-0.49999999999999956</v>
      </c>
      <c r="N90" s="197" t="str">
        <f t="shared" si="107"/>
        <v/>
      </c>
    </row>
    <row r="91" spans="1:22" x14ac:dyDescent="0.25">
      <c r="A91" s="36">
        <v>46098</v>
      </c>
      <c r="B91" s="198">
        <f t="shared" si="126"/>
        <v>2</v>
      </c>
      <c r="C91" t="str">
        <f t="shared" si="127"/>
        <v>Di</v>
      </c>
      <c r="D91" s="193">
        <v>0.34375</v>
      </c>
      <c r="E91" s="194">
        <v>0.77083333333333337</v>
      </c>
      <c r="F91" s="193" t="b">
        <f t="shared" si="115"/>
        <v>1</v>
      </c>
      <c r="G91" s="193">
        <f t="shared" si="116"/>
        <v>3.125E-2</v>
      </c>
      <c r="H91" s="193">
        <f t="shared" si="117"/>
        <v>0.42708333333333337</v>
      </c>
      <c r="I91" s="193">
        <f t="shared" si="118"/>
        <v>0.39583333333333337</v>
      </c>
      <c r="J91" s="23">
        <f t="shared" si="128"/>
        <v>0.71875</v>
      </c>
      <c r="K91" s="199">
        <f t="shared" si="111"/>
        <v>1.0000000000000004</v>
      </c>
      <c r="N91" s="197" t="str">
        <f t="shared" si="107"/>
        <v/>
      </c>
    </row>
    <row r="92" spans="1:22" x14ac:dyDescent="0.25">
      <c r="A92" s="36">
        <v>46097</v>
      </c>
      <c r="B92" s="198">
        <f t="shared" si="126"/>
        <v>1</v>
      </c>
      <c r="C92" t="str">
        <f t="shared" si="127"/>
        <v>Mo</v>
      </c>
      <c r="F92" s="193" t="b">
        <f t="shared" si="115"/>
        <v>0</v>
      </c>
      <c r="G92" s="193" t="str">
        <f t="shared" si="116"/>
        <v/>
      </c>
      <c r="H92" s="193" t="str">
        <f t="shared" si="117"/>
        <v/>
      </c>
      <c r="I92" s="193" t="str">
        <f t="shared" si="118"/>
        <v/>
      </c>
      <c r="J92" s="23">
        <f t="shared" si="128"/>
        <v>0.375</v>
      </c>
      <c r="K92" s="199" t="str">
        <f t="shared" si="111"/>
        <v/>
      </c>
      <c r="L92" t="s">
        <v>29</v>
      </c>
      <c r="N92" s="197" t="str">
        <f t="shared" si="107"/>
        <v/>
      </c>
    </row>
    <row r="93" spans="1:22" x14ac:dyDescent="0.25">
      <c r="A93" s="36">
        <v>46096</v>
      </c>
      <c r="B93" s="198">
        <f t="shared" si="126"/>
        <v>7</v>
      </c>
      <c r="C93" t="str">
        <f t="shared" si="127"/>
        <v>So</v>
      </c>
      <c r="F93" s="193" t="b">
        <f t="shared" si="115"/>
        <v>0</v>
      </c>
      <c r="G93" s="193" t="str">
        <f t="shared" si="116"/>
        <v/>
      </c>
      <c r="H93" s="193" t="str">
        <f t="shared" si="117"/>
        <v/>
      </c>
      <c r="I93" s="193" t="str">
        <f t="shared" si="118"/>
        <v/>
      </c>
      <c r="J93" s="23">
        <f t="shared" si="128"/>
        <v>0</v>
      </c>
      <c r="K93" s="199" t="str">
        <f t="shared" si="111"/>
        <v/>
      </c>
      <c r="N93" s="197">
        <f t="shared" si="107"/>
        <v>2.25</v>
      </c>
    </row>
    <row r="94" spans="1:22" x14ac:dyDescent="0.25">
      <c r="A94" s="36">
        <v>46095</v>
      </c>
      <c r="B94" s="198">
        <f t="shared" si="126"/>
        <v>6</v>
      </c>
      <c r="C94" t="str">
        <f t="shared" si="127"/>
        <v>Sa</v>
      </c>
      <c r="F94" s="193" t="b">
        <f t="shared" si="115"/>
        <v>0</v>
      </c>
      <c r="G94" s="193" t="str">
        <f t="shared" si="116"/>
        <v/>
      </c>
      <c r="H94" s="193" t="str">
        <f t="shared" si="117"/>
        <v/>
      </c>
      <c r="I94" s="193" t="str">
        <f t="shared" si="118"/>
        <v/>
      </c>
      <c r="J94" s="23">
        <f t="shared" si="128"/>
        <v>0</v>
      </c>
      <c r="K94" s="199" t="str">
        <f t="shared" si="111"/>
        <v/>
      </c>
      <c r="N94" s="197" t="str">
        <f t="shared" si="107"/>
        <v/>
      </c>
    </row>
    <row r="95" spans="1:22" x14ac:dyDescent="0.25">
      <c r="A95" s="36">
        <v>46094</v>
      </c>
      <c r="B95" s="198">
        <f t="shared" si="126"/>
        <v>5</v>
      </c>
      <c r="C95" t="str">
        <f t="shared" si="127"/>
        <v>Fr</v>
      </c>
      <c r="D95" s="193">
        <v>0.30208333333333331</v>
      </c>
      <c r="E95" s="194">
        <v>0.53125</v>
      </c>
      <c r="F95" s="193" t="b">
        <f t="shared" si="115"/>
        <v>1</v>
      </c>
      <c r="G95" s="193">
        <f t="shared" si="116"/>
        <v>0</v>
      </c>
      <c r="H95" s="193">
        <f t="shared" si="117"/>
        <v>0.22916666666666669</v>
      </c>
      <c r="I95" s="193">
        <f t="shared" si="118"/>
        <v>0.22916666666666669</v>
      </c>
      <c r="J95" s="23">
        <f t="shared" si="128"/>
        <v>0.55208333333333337</v>
      </c>
      <c r="K95" s="199">
        <f t="shared" si="111"/>
        <v>-0.49999999999999956</v>
      </c>
      <c r="N95" s="197" t="str">
        <f t="shared" si="107"/>
        <v/>
      </c>
    </row>
    <row r="96" spans="1:22" x14ac:dyDescent="0.25">
      <c r="A96" s="36">
        <v>46093</v>
      </c>
      <c r="B96" s="198">
        <f t="shared" si="126"/>
        <v>4</v>
      </c>
      <c r="C96" t="str">
        <f t="shared" si="127"/>
        <v>Do</v>
      </c>
      <c r="D96" s="193">
        <v>0.34375</v>
      </c>
      <c r="E96" s="194">
        <v>0.67708333333333337</v>
      </c>
      <c r="F96" s="193" t="b">
        <f t="shared" si="115"/>
        <v>1</v>
      </c>
      <c r="G96" s="193">
        <f t="shared" si="116"/>
        <v>2.0833333333333332E-2</v>
      </c>
      <c r="H96" s="193">
        <f t="shared" si="117"/>
        <v>0.33333333333333337</v>
      </c>
      <c r="I96" s="193">
        <f t="shared" si="118"/>
        <v>0.31250000000000006</v>
      </c>
      <c r="J96" s="23">
        <f t="shared" si="128"/>
        <v>0.71875</v>
      </c>
      <c r="K96" s="199">
        <f t="shared" si="111"/>
        <v>-0.99999999999999911</v>
      </c>
      <c r="N96" s="197" t="str">
        <f t="shared" si="107"/>
        <v/>
      </c>
    </row>
    <row r="97" spans="1:14" x14ac:dyDescent="0.25">
      <c r="A97" s="36">
        <v>46092</v>
      </c>
      <c r="B97" s="198">
        <f t="shared" si="126"/>
        <v>3</v>
      </c>
      <c r="C97" t="str">
        <f t="shared" si="127"/>
        <v>Mi</v>
      </c>
      <c r="D97" s="193">
        <v>0.34375</v>
      </c>
      <c r="E97" s="194">
        <v>0.77083333333333337</v>
      </c>
      <c r="F97" s="193" t="b">
        <f t="shared" si="115"/>
        <v>1</v>
      </c>
      <c r="G97" s="193">
        <f t="shared" si="116"/>
        <v>3.125E-2</v>
      </c>
      <c r="H97" s="193">
        <f t="shared" si="117"/>
        <v>0.42708333333333337</v>
      </c>
      <c r="I97" s="193">
        <f t="shared" si="118"/>
        <v>0.39583333333333337</v>
      </c>
      <c r="J97" s="23">
        <f t="shared" si="128"/>
        <v>0.71875</v>
      </c>
      <c r="K97" s="199">
        <f t="shared" si="111"/>
        <v>1.0000000000000004</v>
      </c>
      <c r="N97" s="197" t="str">
        <f t="shared" si="107"/>
        <v/>
      </c>
    </row>
    <row r="98" spans="1:14" x14ac:dyDescent="0.25">
      <c r="A98" s="36">
        <v>46091</v>
      </c>
      <c r="B98" s="198">
        <f t="shared" si="126"/>
        <v>2</v>
      </c>
      <c r="C98" t="str">
        <f t="shared" si="127"/>
        <v>Di</v>
      </c>
      <c r="D98" s="193">
        <v>0.35416666666666669</v>
      </c>
      <c r="E98" s="194">
        <v>0.79166666666666663</v>
      </c>
      <c r="F98" s="193" t="b">
        <f t="shared" si="115"/>
        <v>1</v>
      </c>
      <c r="G98" s="193">
        <f t="shared" si="116"/>
        <v>3.125E-2</v>
      </c>
      <c r="H98" s="193">
        <f t="shared" si="117"/>
        <v>0.43749999999999994</v>
      </c>
      <c r="I98" s="193">
        <f t="shared" si="118"/>
        <v>0.40624999999999994</v>
      </c>
      <c r="J98" s="23">
        <f t="shared" si="128"/>
        <v>0.72916666666666663</v>
      </c>
      <c r="K98" s="199">
        <f t="shared" si="111"/>
        <v>1.2499999999999982</v>
      </c>
      <c r="N98" s="197" t="str">
        <f t="shared" si="107"/>
        <v/>
      </c>
    </row>
    <row r="99" spans="1:14" x14ac:dyDescent="0.25">
      <c r="A99" s="36">
        <v>46090</v>
      </c>
      <c r="B99" s="198">
        <f t="shared" si="126"/>
        <v>1</v>
      </c>
      <c r="C99" t="str">
        <f t="shared" si="127"/>
        <v>Mo</v>
      </c>
      <c r="D99" s="193">
        <v>0.36458333333333331</v>
      </c>
      <c r="E99" s="194">
        <v>0.8125</v>
      </c>
      <c r="F99" s="193" t="b">
        <f t="shared" si="115"/>
        <v>1</v>
      </c>
      <c r="G99" s="193">
        <f t="shared" si="116"/>
        <v>3.125E-2</v>
      </c>
      <c r="H99" s="193">
        <f t="shared" si="117"/>
        <v>0.44791666666666669</v>
      </c>
      <c r="I99" s="193">
        <f t="shared" si="118"/>
        <v>0.41666666666666669</v>
      </c>
      <c r="J99" s="23">
        <f t="shared" si="128"/>
        <v>0.73958333333333337</v>
      </c>
      <c r="K99" s="199">
        <f t="shared" si="111"/>
        <v>1.5</v>
      </c>
      <c r="N99" s="197" t="str">
        <f t="shared" si="107"/>
        <v/>
      </c>
    </row>
    <row r="100" spans="1:14" x14ac:dyDescent="0.25">
      <c r="A100" s="36">
        <v>46089</v>
      </c>
      <c r="B100" s="198">
        <f t="shared" si="126"/>
        <v>7</v>
      </c>
      <c r="C100" t="str">
        <f t="shared" si="127"/>
        <v>So</v>
      </c>
      <c r="F100" s="193" t="b">
        <f t="shared" si="115"/>
        <v>0</v>
      </c>
      <c r="G100" s="193" t="str">
        <f t="shared" si="116"/>
        <v/>
      </c>
      <c r="H100" s="193" t="str">
        <f t="shared" si="117"/>
        <v/>
      </c>
      <c r="I100" s="193" t="str">
        <f t="shared" si="118"/>
        <v/>
      </c>
      <c r="J100" s="23">
        <f t="shared" si="128"/>
        <v>0</v>
      </c>
      <c r="K100" s="199" t="str">
        <f t="shared" si="111"/>
        <v/>
      </c>
      <c r="N100" s="197">
        <f t="shared" si="107"/>
        <v>-1.5000000000000004</v>
      </c>
    </row>
    <row r="101" spans="1:14" x14ac:dyDescent="0.25">
      <c r="A101" s="36">
        <v>46088</v>
      </c>
      <c r="B101" s="198">
        <f t="shared" si="126"/>
        <v>6</v>
      </c>
      <c r="C101" t="str">
        <f t="shared" si="127"/>
        <v>Sa</v>
      </c>
      <c r="F101" s="193" t="b">
        <f t="shared" si="115"/>
        <v>0</v>
      </c>
      <c r="G101" s="193" t="str">
        <f t="shared" si="116"/>
        <v/>
      </c>
      <c r="H101" s="193" t="str">
        <f t="shared" si="117"/>
        <v/>
      </c>
      <c r="I101" s="193" t="str">
        <f t="shared" si="118"/>
        <v/>
      </c>
      <c r="J101" s="23">
        <f t="shared" si="128"/>
        <v>0</v>
      </c>
      <c r="K101" s="199" t="str">
        <f t="shared" si="111"/>
        <v/>
      </c>
      <c r="N101" s="197" t="str">
        <f t="shared" si="107"/>
        <v/>
      </c>
    </row>
    <row r="102" spans="1:14" x14ac:dyDescent="0.25">
      <c r="A102" s="36">
        <v>46087</v>
      </c>
      <c r="B102" s="198">
        <f t="shared" si="126"/>
        <v>5</v>
      </c>
      <c r="C102" t="str">
        <f t="shared" si="127"/>
        <v>Fr</v>
      </c>
      <c r="D102" s="193">
        <v>0.34375</v>
      </c>
      <c r="E102" s="194">
        <v>0.625</v>
      </c>
      <c r="F102" s="193" t="b">
        <f t="shared" si="115"/>
        <v>1</v>
      </c>
      <c r="G102" s="193">
        <f t="shared" si="116"/>
        <v>2.0833333333333332E-2</v>
      </c>
      <c r="H102" s="193">
        <f t="shared" si="117"/>
        <v>0.28125</v>
      </c>
      <c r="I102" s="193">
        <f t="shared" si="118"/>
        <v>0.26041666666666669</v>
      </c>
      <c r="J102" s="23">
        <f t="shared" si="128"/>
        <v>0.59375</v>
      </c>
      <c r="K102" s="199">
        <f t="shared" si="111"/>
        <v>0.25000000000000044</v>
      </c>
      <c r="N102" s="197" t="str">
        <f t="shared" si="107"/>
        <v/>
      </c>
    </row>
    <row r="103" spans="1:14" x14ac:dyDescent="0.25">
      <c r="A103" s="36">
        <v>46086</v>
      </c>
      <c r="B103" s="198">
        <f t="shared" si="126"/>
        <v>4</v>
      </c>
      <c r="C103" t="str">
        <f t="shared" si="127"/>
        <v>Do</v>
      </c>
      <c r="D103" s="193">
        <v>0.32291666666666669</v>
      </c>
      <c r="E103" s="194">
        <v>0.72916666666666663</v>
      </c>
      <c r="F103" s="193" t="b">
        <f t="shared" si="115"/>
        <v>1</v>
      </c>
      <c r="G103" s="193">
        <f t="shared" si="116"/>
        <v>3.125E-2</v>
      </c>
      <c r="H103" s="193">
        <f t="shared" si="117"/>
        <v>0.40624999999999994</v>
      </c>
      <c r="I103" s="193">
        <f t="shared" si="118"/>
        <v>0.37499999999999994</v>
      </c>
      <c r="J103" s="23">
        <f t="shared" si="128"/>
        <v>0.69791666666666663</v>
      </c>
      <c r="K103" s="199">
        <f t="shared" si="111"/>
        <v>0.49999999999999822</v>
      </c>
      <c r="N103" s="197" t="str">
        <f t="shared" si="107"/>
        <v/>
      </c>
    </row>
    <row r="104" spans="1:14" x14ac:dyDescent="0.25">
      <c r="A104" s="36">
        <v>46085</v>
      </c>
      <c r="B104" s="198">
        <f t="shared" si="126"/>
        <v>3</v>
      </c>
      <c r="C104" t="str">
        <f t="shared" si="127"/>
        <v>Mi</v>
      </c>
      <c r="D104" s="193">
        <v>0.33333333333333331</v>
      </c>
      <c r="E104" s="194">
        <v>0.78125</v>
      </c>
      <c r="F104" s="193" t="b">
        <f t="shared" si="115"/>
        <v>1</v>
      </c>
      <c r="G104" s="193">
        <f t="shared" si="116"/>
        <v>3.125E-2</v>
      </c>
      <c r="H104" s="193">
        <f t="shared" si="117"/>
        <v>0.44791666666666669</v>
      </c>
      <c r="I104" s="193">
        <f t="shared" si="118"/>
        <v>0.41666666666666669</v>
      </c>
      <c r="J104" s="23">
        <f t="shared" si="128"/>
        <v>0.70833333333333337</v>
      </c>
      <c r="K104" s="199">
        <f t="shared" si="111"/>
        <v>1.5</v>
      </c>
      <c r="N104" s="197" t="str">
        <f t="shared" si="107"/>
        <v/>
      </c>
    </row>
    <row r="105" spans="1:14" x14ac:dyDescent="0.25">
      <c r="A105" s="36">
        <v>46084</v>
      </c>
      <c r="B105" s="198">
        <f t="shared" si="126"/>
        <v>2</v>
      </c>
      <c r="C105" t="str">
        <f t="shared" si="127"/>
        <v>Di</v>
      </c>
      <c r="D105" s="193">
        <v>0.34375</v>
      </c>
      <c r="E105" s="194">
        <v>0.64583333333333337</v>
      </c>
      <c r="F105" s="193" t="b">
        <f t="shared" si="115"/>
        <v>1</v>
      </c>
      <c r="G105" s="193">
        <f t="shared" si="116"/>
        <v>2.0833333333333332E-2</v>
      </c>
      <c r="H105" s="193">
        <f t="shared" si="117"/>
        <v>0.30208333333333337</v>
      </c>
      <c r="I105" s="193">
        <f t="shared" si="118"/>
        <v>0.28125000000000006</v>
      </c>
      <c r="J105" s="23">
        <f t="shared" si="128"/>
        <v>0.71875</v>
      </c>
      <c r="K105" s="199">
        <v>-2.75</v>
      </c>
      <c r="M105" t="s">
        <v>278</v>
      </c>
      <c r="N105" s="197" t="str">
        <f t="shared" si="107"/>
        <v/>
      </c>
    </row>
    <row r="106" spans="1:14" x14ac:dyDescent="0.25">
      <c r="A106" s="36">
        <v>46083</v>
      </c>
      <c r="B106" s="198">
        <f t="shared" si="126"/>
        <v>1</v>
      </c>
      <c r="C106" t="str">
        <f t="shared" si="127"/>
        <v>Mo</v>
      </c>
      <c r="D106" s="193">
        <v>0.375</v>
      </c>
      <c r="E106" s="194">
        <v>0.70833333333333337</v>
      </c>
      <c r="F106" s="193" t="b">
        <f t="shared" si="115"/>
        <v>1</v>
      </c>
      <c r="G106" s="193">
        <f t="shared" si="116"/>
        <v>2.0833333333333332E-2</v>
      </c>
      <c r="H106" s="193">
        <f t="shared" si="117"/>
        <v>0.33333333333333337</v>
      </c>
      <c r="I106" s="193">
        <f t="shared" si="118"/>
        <v>0.31250000000000006</v>
      </c>
      <c r="J106" s="23">
        <f t="shared" si="128"/>
        <v>0.75</v>
      </c>
      <c r="K106" s="199">
        <f t="shared" si="111"/>
        <v>-0.99999999999999911</v>
      </c>
      <c r="N106" s="197" t="str">
        <f t="shared" si="107"/>
        <v/>
      </c>
    </row>
    <row r="107" spans="1:14" x14ac:dyDescent="0.25">
      <c r="A107" s="36">
        <v>46082</v>
      </c>
      <c r="B107" s="198">
        <f t="shared" si="126"/>
        <v>7</v>
      </c>
      <c r="C107" t="str">
        <f t="shared" si="127"/>
        <v>So</v>
      </c>
      <c r="F107" s="193" t="b">
        <f t="shared" si="115"/>
        <v>0</v>
      </c>
      <c r="G107" s="193" t="str">
        <f t="shared" si="116"/>
        <v/>
      </c>
      <c r="H107" s="193" t="str">
        <f t="shared" si="117"/>
        <v/>
      </c>
      <c r="I107" s="193" t="str">
        <f t="shared" si="118"/>
        <v/>
      </c>
      <c r="J107" s="23">
        <f t="shared" si="128"/>
        <v>0</v>
      </c>
      <c r="K107" s="199" t="str">
        <f t="shared" si="111"/>
        <v/>
      </c>
      <c r="N107" s="197">
        <f t="shared" si="107"/>
        <v>4.4408920985006262E-16</v>
      </c>
    </row>
    <row r="108" spans="1:14" x14ac:dyDescent="0.25">
      <c r="A108" s="36">
        <v>46081</v>
      </c>
      <c r="B108" s="198">
        <f t="shared" si="126"/>
        <v>6</v>
      </c>
      <c r="C108" t="str">
        <f t="shared" si="127"/>
        <v>Sa</v>
      </c>
      <c r="F108" s="193" t="b">
        <f t="shared" si="115"/>
        <v>0</v>
      </c>
      <c r="G108" s="193" t="str">
        <f t="shared" si="116"/>
        <v/>
      </c>
      <c r="H108" s="193" t="str">
        <f t="shared" si="117"/>
        <v/>
      </c>
      <c r="I108" s="193" t="str">
        <f t="shared" si="118"/>
        <v/>
      </c>
      <c r="J108" s="23">
        <f t="shared" si="128"/>
        <v>0</v>
      </c>
      <c r="K108" s="199" t="str">
        <f t="shared" si="111"/>
        <v/>
      </c>
      <c r="N108" s="197" t="str">
        <f t="shared" si="107"/>
        <v/>
      </c>
    </row>
    <row r="109" spans="1:14" x14ac:dyDescent="0.25">
      <c r="A109" s="36">
        <v>46080</v>
      </c>
      <c r="B109" s="198">
        <f t="shared" si="126"/>
        <v>5</v>
      </c>
      <c r="C109" t="str">
        <f t="shared" si="127"/>
        <v>Fr</v>
      </c>
      <c r="F109" s="193" t="b">
        <f t="shared" si="115"/>
        <v>0</v>
      </c>
      <c r="G109" s="193" t="str">
        <f t="shared" si="116"/>
        <v/>
      </c>
      <c r="H109" s="193" t="str">
        <f t="shared" si="117"/>
        <v/>
      </c>
      <c r="I109" s="193" t="str">
        <f t="shared" si="118"/>
        <v/>
      </c>
      <c r="J109" s="23">
        <f t="shared" si="128"/>
        <v>0.25</v>
      </c>
      <c r="K109" s="199" t="str">
        <f t="shared" si="111"/>
        <v/>
      </c>
      <c r="L109" t="s">
        <v>27</v>
      </c>
      <c r="N109" s="197" t="str">
        <f t="shared" si="107"/>
        <v/>
      </c>
    </row>
    <row r="110" spans="1:14" x14ac:dyDescent="0.25">
      <c r="A110" s="36">
        <v>46079</v>
      </c>
      <c r="B110" s="198">
        <f t="shared" si="126"/>
        <v>4</v>
      </c>
      <c r="C110" t="str">
        <f t="shared" si="127"/>
        <v>Do</v>
      </c>
      <c r="F110" s="193" t="b">
        <f t="shared" si="115"/>
        <v>0</v>
      </c>
      <c r="G110" s="193" t="str">
        <f t="shared" si="116"/>
        <v/>
      </c>
      <c r="H110" s="193" t="str">
        <f t="shared" si="117"/>
        <v/>
      </c>
      <c r="I110" s="193" t="str">
        <f t="shared" si="118"/>
        <v/>
      </c>
      <c r="J110" s="23">
        <f t="shared" si="128"/>
        <v>0.375</v>
      </c>
      <c r="K110" s="199" t="str">
        <f t="shared" si="111"/>
        <v/>
      </c>
      <c r="L110" t="s">
        <v>27</v>
      </c>
      <c r="N110" s="197" t="str">
        <f t="shared" si="107"/>
        <v/>
      </c>
    </row>
    <row r="111" spans="1:14" x14ac:dyDescent="0.25">
      <c r="A111" s="36">
        <v>46078</v>
      </c>
      <c r="B111" s="198">
        <f t="shared" si="126"/>
        <v>3</v>
      </c>
      <c r="C111" t="str">
        <f t="shared" si="127"/>
        <v>Mi</v>
      </c>
      <c r="D111" s="193">
        <v>0.35416666666666669</v>
      </c>
      <c r="E111" s="194">
        <v>0.73958333333333337</v>
      </c>
      <c r="F111" s="193" t="b">
        <f t="shared" si="115"/>
        <v>1</v>
      </c>
      <c r="G111" s="193">
        <f t="shared" si="116"/>
        <v>2.0833333333333332E-2</v>
      </c>
      <c r="H111" s="193">
        <f t="shared" si="117"/>
        <v>0.38541666666666669</v>
      </c>
      <c r="I111" s="193">
        <f t="shared" si="118"/>
        <v>0.36458333333333337</v>
      </c>
      <c r="J111" s="23">
        <f t="shared" si="128"/>
        <v>0.72916666666666663</v>
      </c>
      <c r="K111" s="199">
        <v>-0.25</v>
      </c>
      <c r="M111" t="s">
        <v>278</v>
      </c>
      <c r="N111" s="197" t="str">
        <f t="shared" si="107"/>
        <v/>
      </c>
    </row>
    <row r="112" spans="1:14" x14ac:dyDescent="0.25">
      <c r="A112" s="36">
        <v>46077</v>
      </c>
      <c r="B112" s="198">
        <f t="shared" si="126"/>
        <v>2</v>
      </c>
      <c r="C112" t="str">
        <f t="shared" si="127"/>
        <v>Di</v>
      </c>
      <c r="D112" s="193">
        <v>0.35416666666666669</v>
      </c>
      <c r="E112" s="194">
        <v>0.73958333333333337</v>
      </c>
      <c r="F112" s="193" t="b">
        <f t="shared" si="115"/>
        <v>1</v>
      </c>
      <c r="G112" s="193">
        <f t="shared" si="116"/>
        <v>2.0833333333333332E-2</v>
      </c>
      <c r="H112" s="193">
        <f>IF(F112,E112-D112,"")</f>
        <v>0.38541666666666669</v>
      </c>
      <c r="I112" s="193">
        <f>IF(F112,H112-G112,"")</f>
        <v>0.36458333333333337</v>
      </c>
      <c r="J112" s="23">
        <f t="shared" si="128"/>
        <v>0.72916666666666663</v>
      </c>
      <c r="K112" s="199">
        <f t="shared" si="111"/>
        <v>0.25000000000000044</v>
      </c>
      <c r="N112" s="197" t="str">
        <f t="shared" si="107"/>
        <v/>
      </c>
    </row>
    <row r="113" spans="1:14" x14ac:dyDescent="0.25">
      <c r="A113" s="36">
        <v>46076</v>
      </c>
      <c r="B113" s="198">
        <f t="shared" si="126"/>
        <v>1</v>
      </c>
      <c r="C113" t="str">
        <f t="shared" si="127"/>
        <v>Mo</v>
      </c>
      <c r="D113" s="193">
        <v>0.34375</v>
      </c>
      <c r="E113" s="194">
        <v>0.71875</v>
      </c>
      <c r="F113" s="193" t="b">
        <f t="shared" si="115"/>
        <v>1</v>
      </c>
      <c r="G113" s="193">
        <f t="shared" si="116"/>
        <v>2.0833333333333332E-2</v>
      </c>
      <c r="H113" s="193">
        <f t="shared" ref="H113:H135" si="129">IF(F113,E113-D113,"")</f>
        <v>0.375</v>
      </c>
      <c r="I113" s="193">
        <f t="shared" ref="I113:I135" si="130">IF(F113,H113-G113,"")</f>
        <v>0.35416666666666669</v>
      </c>
      <c r="J113" s="23">
        <f t="shared" si="128"/>
        <v>0.71875</v>
      </c>
      <c r="K113" s="199">
        <f t="shared" si="111"/>
        <v>0</v>
      </c>
      <c r="N113" s="197" t="str">
        <f t="shared" si="107"/>
        <v/>
      </c>
    </row>
    <row r="114" spans="1:14" x14ac:dyDescent="0.25">
      <c r="A114" s="36">
        <v>46075</v>
      </c>
      <c r="B114" s="198">
        <f t="shared" si="126"/>
        <v>7</v>
      </c>
      <c r="C114" t="str">
        <f t="shared" si="127"/>
        <v>So</v>
      </c>
      <c r="F114" s="193" t="b">
        <f t="shared" si="115"/>
        <v>0</v>
      </c>
      <c r="G114" s="193" t="str">
        <f t="shared" si="116"/>
        <v/>
      </c>
      <c r="H114" s="193" t="str">
        <f t="shared" si="129"/>
        <v/>
      </c>
      <c r="I114" s="193" t="str">
        <f t="shared" si="130"/>
        <v/>
      </c>
      <c r="J114" s="23">
        <f t="shared" si="128"/>
        <v>0</v>
      </c>
      <c r="K114" s="199" t="str">
        <f t="shared" si="111"/>
        <v/>
      </c>
      <c r="N114" s="197">
        <f t="shared" si="107"/>
        <v>0.25000000000000044</v>
      </c>
    </row>
    <row r="115" spans="1:14" x14ac:dyDescent="0.25">
      <c r="A115" s="36">
        <v>46074</v>
      </c>
      <c r="B115" s="198">
        <f t="shared" si="126"/>
        <v>6</v>
      </c>
      <c r="C115" t="str">
        <f t="shared" si="127"/>
        <v>Sa</v>
      </c>
      <c r="F115" s="193" t="b">
        <f t="shared" si="115"/>
        <v>0</v>
      </c>
      <c r="G115" s="193" t="str">
        <f t="shared" si="116"/>
        <v/>
      </c>
      <c r="H115" s="193" t="str">
        <f t="shared" si="129"/>
        <v/>
      </c>
      <c r="I115" s="193" t="str">
        <f t="shared" si="130"/>
        <v/>
      </c>
      <c r="J115" s="23">
        <f t="shared" si="128"/>
        <v>0</v>
      </c>
      <c r="K115" s="199" t="str">
        <f t="shared" si="111"/>
        <v/>
      </c>
      <c r="N115" s="197" t="str">
        <f t="shared" si="107"/>
        <v/>
      </c>
    </row>
    <row r="116" spans="1:14" x14ac:dyDescent="0.25">
      <c r="A116" s="36">
        <v>46073</v>
      </c>
      <c r="B116" s="198">
        <f t="shared" si="126"/>
        <v>5</v>
      </c>
      <c r="C116" t="str">
        <f t="shared" si="127"/>
        <v>Fr</v>
      </c>
      <c r="D116" s="193">
        <v>0.36458333333333331</v>
      </c>
      <c r="E116" s="193">
        <v>0.61458333333333337</v>
      </c>
      <c r="F116" s="193" t="b">
        <f t="shared" si="115"/>
        <v>1</v>
      </c>
      <c r="G116" s="193">
        <f t="shared" si="116"/>
        <v>0</v>
      </c>
      <c r="H116" s="193">
        <f t="shared" si="129"/>
        <v>0.25000000000000006</v>
      </c>
      <c r="I116" s="193">
        <f t="shared" si="130"/>
        <v>0.25000000000000006</v>
      </c>
      <c r="J116" s="23">
        <f t="shared" si="128"/>
        <v>0.61458333333333337</v>
      </c>
      <c r="K116" s="199">
        <f t="shared" si="111"/>
        <v>1.3322676295501878E-15</v>
      </c>
      <c r="N116" s="197" t="str">
        <f t="shared" si="107"/>
        <v/>
      </c>
    </row>
    <row r="117" spans="1:14" x14ac:dyDescent="0.25">
      <c r="A117" s="36">
        <v>46072</v>
      </c>
      <c r="B117" s="198">
        <f t="shared" si="126"/>
        <v>4</v>
      </c>
      <c r="C117" t="str">
        <f t="shared" si="127"/>
        <v>Do</v>
      </c>
      <c r="D117" s="193">
        <v>0.36458333333333331</v>
      </c>
      <c r="E117" s="193">
        <v>0.73958333333333337</v>
      </c>
      <c r="F117" s="193" t="b">
        <f t="shared" si="115"/>
        <v>1</v>
      </c>
      <c r="G117" s="193">
        <f t="shared" si="116"/>
        <v>2.0833333333333332E-2</v>
      </c>
      <c r="H117" s="193">
        <f t="shared" si="129"/>
        <v>0.37500000000000006</v>
      </c>
      <c r="I117" s="193">
        <f t="shared" si="130"/>
        <v>0.35416666666666674</v>
      </c>
      <c r="J117" s="23">
        <f t="shared" si="128"/>
        <v>0.73958333333333337</v>
      </c>
      <c r="K117" s="199">
        <f t="shared" si="111"/>
        <v>1.3322676295501878E-15</v>
      </c>
      <c r="N117" s="197" t="str">
        <f t="shared" si="107"/>
        <v/>
      </c>
    </row>
    <row r="118" spans="1:14" x14ac:dyDescent="0.25">
      <c r="A118" s="36">
        <v>46071</v>
      </c>
      <c r="B118" s="198">
        <f t="shared" si="126"/>
        <v>3</v>
      </c>
      <c r="C118" t="str">
        <f t="shared" si="127"/>
        <v>Mi</v>
      </c>
      <c r="D118" s="193">
        <v>0.34375</v>
      </c>
      <c r="E118" s="193">
        <v>0.76041666666666663</v>
      </c>
      <c r="F118" s="193" t="b">
        <f t="shared" si="115"/>
        <v>1</v>
      </c>
      <c r="G118" s="193">
        <f t="shared" si="116"/>
        <v>3.125E-2</v>
      </c>
      <c r="H118" s="193">
        <f t="shared" si="129"/>
        <v>0.41666666666666663</v>
      </c>
      <c r="I118" s="193">
        <f t="shared" si="130"/>
        <v>0.38541666666666663</v>
      </c>
      <c r="J118" s="23">
        <f t="shared" si="128"/>
        <v>0.71875</v>
      </c>
      <c r="K118" s="199">
        <f t="shared" si="111"/>
        <v>0.74999999999999867</v>
      </c>
      <c r="N118" s="197" t="str">
        <f t="shared" si="107"/>
        <v/>
      </c>
    </row>
    <row r="119" spans="1:14" x14ac:dyDescent="0.25">
      <c r="A119" s="36">
        <v>46070</v>
      </c>
      <c r="B119" s="198">
        <f t="shared" si="126"/>
        <v>2</v>
      </c>
      <c r="C119" t="str">
        <f t="shared" si="127"/>
        <v>Di</v>
      </c>
      <c r="D119" s="193">
        <v>0.35416666666666669</v>
      </c>
      <c r="E119" s="193">
        <v>0.64583333333333337</v>
      </c>
      <c r="F119" s="193" t="b">
        <f t="shared" si="115"/>
        <v>1</v>
      </c>
      <c r="G119" s="193">
        <f t="shared" si="116"/>
        <v>2.0833333333333332E-2</v>
      </c>
      <c r="H119" s="193">
        <f t="shared" si="129"/>
        <v>0.29166666666666669</v>
      </c>
      <c r="I119" s="193">
        <f t="shared" si="130"/>
        <v>0.27083333333333337</v>
      </c>
      <c r="J119" s="23">
        <f t="shared" si="128"/>
        <v>0.72916666666666663</v>
      </c>
      <c r="K119" s="199">
        <f t="shared" si="111"/>
        <v>-1.9999999999999996</v>
      </c>
      <c r="N119" s="197" t="str">
        <f t="shared" si="107"/>
        <v/>
      </c>
    </row>
    <row r="120" spans="1:14" x14ac:dyDescent="0.25">
      <c r="A120" s="36">
        <v>46069</v>
      </c>
      <c r="B120" s="198">
        <f t="shared" si="126"/>
        <v>1</v>
      </c>
      <c r="C120" t="str">
        <f t="shared" si="127"/>
        <v>Mo</v>
      </c>
      <c r="D120" s="193">
        <v>0.3125</v>
      </c>
      <c r="E120" s="193">
        <v>0.76041666666666663</v>
      </c>
      <c r="F120" s="193" t="b">
        <f t="shared" si="115"/>
        <v>1</v>
      </c>
      <c r="G120" s="193">
        <f t="shared" si="116"/>
        <v>3.125E-2</v>
      </c>
      <c r="H120" s="193">
        <f t="shared" si="129"/>
        <v>0.44791666666666663</v>
      </c>
      <c r="I120" s="193">
        <f t="shared" si="130"/>
        <v>0.41666666666666663</v>
      </c>
      <c r="J120" s="23">
        <f t="shared" si="128"/>
        <v>0.6875</v>
      </c>
      <c r="K120" s="199">
        <f t="shared" si="111"/>
        <v>1.4999999999999987</v>
      </c>
      <c r="N120" s="197" t="str">
        <f t="shared" si="107"/>
        <v/>
      </c>
    </row>
    <row r="121" spans="1:14" x14ac:dyDescent="0.25">
      <c r="A121" s="36">
        <v>46068</v>
      </c>
      <c r="B121" s="198">
        <f t="shared" si="126"/>
        <v>7</v>
      </c>
      <c r="C121" t="str">
        <f t="shared" si="127"/>
        <v>So</v>
      </c>
      <c r="F121" s="193" t="b">
        <f t="shared" si="115"/>
        <v>0</v>
      </c>
      <c r="G121" s="193" t="str">
        <f t="shared" si="116"/>
        <v/>
      </c>
      <c r="H121" s="193" t="str">
        <f t="shared" si="129"/>
        <v/>
      </c>
      <c r="I121" s="193" t="str">
        <f t="shared" si="130"/>
        <v/>
      </c>
      <c r="J121" s="23">
        <f t="shared" si="128"/>
        <v>0</v>
      </c>
      <c r="K121" s="199" t="str">
        <f t="shared" si="111"/>
        <v/>
      </c>
      <c r="N121" s="197">
        <f t="shared" si="107"/>
        <v>0.49999999999999956</v>
      </c>
    </row>
    <row r="122" spans="1:14" x14ac:dyDescent="0.25">
      <c r="A122" s="36">
        <v>46067</v>
      </c>
      <c r="B122" s="198">
        <f t="shared" si="126"/>
        <v>6</v>
      </c>
      <c r="C122" t="str">
        <f t="shared" si="127"/>
        <v>Sa</v>
      </c>
      <c r="F122" s="193" t="b">
        <f t="shared" si="115"/>
        <v>0</v>
      </c>
      <c r="G122" s="193" t="str">
        <f t="shared" si="116"/>
        <v/>
      </c>
      <c r="H122" s="193" t="str">
        <f t="shared" si="129"/>
        <v/>
      </c>
      <c r="I122" s="193" t="str">
        <f t="shared" si="130"/>
        <v/>
      </c>
      <c r="J122" s="23">
        <f t="shared" si="128"/>
        <v>0</v>
      </c>
      <c r="K122" s="199" t="str">
        <f t="shared" si="111"/>
        <v/>
      </c>
      <c r="N122" s="197" t="str">
        <f t="shared" si="107"/>
        <v/>
      </c>
    </row>
    <row r="123" spans="1:14" x14ac:dyDescent="0.25">
      <c r="A123" s="36">
        <v>46066</v>
      </c>
      <c r="B123" s="198">
        <f t="shared" si="126"/>
        <v>5</v>
      </c>
      <c r="C123" t="str">
        <f t="shared" si="127"/>
        <v>Fr</v>
      </c>
      <c r="D123" s="193">
        <v>0.3125</v>
      </c>
      <c r="E123" s="193">
        <v>0.54166666666666663</v>
      </c>
      <c r="F123" s="193" t="b">
        <f t="shared" si="115"/>
        <v>1</v>
      </c>
      <c r="G123" s="193">
        <f t="shared" si="116"/>
        <v>0</v>
      </c>
      <c r="H123" s="193">
        <f t="shared" si="129"/>
        <v>0.22916666666666663</v>
      </c>
      <c r="I123" s="193">
        <f t="shared" si="130"/>
        <v>0.22916666666666663</v>
      </c>
      <c r="J123" s="23">
        <f t="shared" si="128"/>
        <v>0.5625</v>
      </c>
      <c r="K123" s="199">
        <f t="shared" si="111"/>
        <v>-0.50000000000000089</v>
      </c>
      <c r="N123" s="197" t="str">
        <f t="shared" ref="N123:N136" si="131">IF(B123=7,(SUM(K123:K129)),"")</f>
        <v/>
      </c>
    </row>
    <row r="124" spans="1:14" x14ac:dyDescent="0.25">
      <c r="A124" s="36">
        <v>46065</v>
      </c>
      <c r="B124" s="198">
        <f t="shared" si="126"/>
        <v>4</v>
      </c>
      <c r="C124" t="str">
        <f t="shared" si="127"/>
        <v>Do</v>
      </c>
      <c r="D124" s="193">
        <v>0.3125</v>
      </c>
      <c r="E124" s="193">
        <v>0.70833333333333337</v>
      </c>
      <c r="F124" s="193" t="b">
        <f t="shared" si="115"/>
        <v>1</v>
      </c>
      <c r="G124" s="193">
        <f t="shared" si="116"/>
        <v>2.0833333333333332E-2</v>
      </c>
      <c r="H124" s="193">
        <f t="shared" si="129"/>
        <v>0.39583333333333337</v>
      </c>
      <c r="I124" s="193">
        <f t="shared" si="130"/>
        <v>0.37500000000000006</v>
      </c>
      <c r="J124" s="23">
        <f t="shared" si="128"/>
        <v>0.6875</v>
      </c>
      <c r="K124" s="199">
        <f t="shared" si="111"/>
        <v>0.50000000000000089</v>
      </c>
      <c r="N124" s="197" t="str">
        <f t="shared" si="131"/>
        <v/>
      </c>
    </row>
    <row r="125" spans="1:14" x14ac:dyDescent="0.25">
      <c r="A125" s="36">
        <v>46064</v>
      </c>
      <c r="B125" s="198">
        <f t="shared" si="126"/>
        <v>3</v>
      </c>
      <c r="C125" t="str">
        <f t="shared" si="127"/>
        <v>Mi</v>
      </c>
      <c r="D125" s="193">
        <v>0.34375</v>
      </c>
      <c r="E125" s="193">
        <v>0.75</v>
      </c>
      <c r="F125" s="193" t="b">
        <f t="shared" si="115"/>
        <v>1</v>
      </c>
      <c r="G125" s="193">
        <f t="shared" si="116"/>
        <v>3.125E-2</v>
      </c>
      <c r="H125" s="193">
        <f t="shared" si="129"/>
        <v>0.40625</v>
      </c>
      <c r="I125" s="193">
        <f t="shared" si="130"/>
        <v>0.375</v>
      </c>
      <c r="J125" s="23">
        <f t="shared" si="128"/>
        <v>0.71875</v>
      </c>
      <c r="K125" s="199">
        <f t="shared" si="111"/>
        <v>0.49999999999999956</v>
      </c>
      <c r="N125" s="197" t="str">
        <f t="shared" si="131"/>
        <v/>
      </c>
    </row>
    <row r="126" spans="1:14" x14ac:dyDescent="0.25">
      <c r="A126" s="36">
        <v>46063</v>
      </c>
      <c r="B126" s="198">
        <f t="shared" si="126"/>
        <v>2</v>
      </c>
      <c r="C126" t="str">
        <f t="shared" si="127"/>
        <v>Di</v>
      </c>
      <c r="D126" s="193">
        <v>0.3125</v>
      </c>
      <c r="E126" s="193">
        <v>0.73958333333333337</v>
      </c>
      <c r="F126" s="193" t="b">
        <f t="shared" si="115"/>
        <v>1</v>
      </c>
      <c r="G126" s="193">
        <f t="shared" si="116"/>
        <v>3.125E-2</v>
      </c>
      <c r="H126" s="193">
        <f t="shared" si="129"/>
        <v>0.42708333333333337</v>
      </c>
      <c r="I126" s="193">
        <f t="shared" si="130"/>
        <v>0.39583333333333337</v>
      </c>
      <c r="J126" s="23">
        <f t="shared" si="128"/>
        <v>0.6875</v>
      </c>
      <c r="K126" s="199">
        <f t="shared" si="111"/>
        <v>1.0000000000000004</v>
      </c>
      <c r="N126" s="197" t="str">
        <f t="shared" si="131"/>
        <v/>
      </c>
    </row>
    <row r="127" spans="1:14" x14ac:dyDescent="0.25">
      <c r="A127" s="36">
        <v>46062</v>
      </c>
      <c r="B127" s="198">
        <f t="shared" si="126"/>
        <v>1</v>
      </c>
      <c r="C127" t="str">
        <f t="shared" si="127"/>
        <v>Mo</v>
      </c>
      <c r="D127" s="193">
        <v>0.33333333333333331</v>
      </c>
      <c r="E127" s="193">
        <v>0.66666666666666663</v>
      </c>
      <c r="F127" s="193" t="b">
        <f t="shared" si="115"/>
        <v>1</v>
      </c>
      <c r="G127" s="193">
        <f t="shared" si="116"/>
        <v>2.0833333333333332E-2</v>
      </c>
      <c r="H127" s="193">
        <f t="shared" si="129"/>
        <v>0.33333333333333331</v>
      </c>
      <c r="I127" s="193">
        <f t="shared" si="130"/>
        <v>0.3125</v>
      </c>
      <c r="J127" s="23">
        <f t="shared" si="128"/>
        <v>0.70833333333333337</v>
      </c>
      <c r="K127" s="199">
        <f t="shared" ref="K127:K135" si="132">IF(F127,IF(B127=5,(I127-6/24)*24,(I127-8.5/24)*24),"")</f>
        <v>-1.0000000000000004</v>
      </c>
      <c r="N127" s="197" t="str">
        <f t="shared" si="131"/>
        <v/>
      </c>
    </row>
    <row r="128" spans="1:14" x14ac:dyDescent="0.25">
      <c r="A128" s="36">
        <v>46061</v>
      </c>
      <c r="B128" s="198">
        <f t="shared" si="126"/>
        <v>7</v>
      </c>
      <c r="C128" t="str">
        <f t="shared" si="127"/>
        <v>So</v>
      </c>
      <c r="F128" s="193" t="b">
        <f t="shared" si="115"/>
        <v>0</v>
      </c>
      <c r="G128" s="193" t="str">
        <f t="shared" si="116"/>
        <v/>
      </c>
      <c r="H128" s="193" t="str">
        <f t="shared" si="129"/>
        <v/>
      </c>
      <c r="I128" s="193" t="str">
        <f t="shared" si="130"/>
        <v/>
      </c>
      <c r="J128" s="23">
        <f t="shared" si="128"/>
        <v>0</v>
      </c>
      <c r="K128" s="199" t="str">
        <f t="shared" si="132"/>
        <v/>
      </c>
      <c r="N128" s="197">
        <f t="shared" si="131"/>
        <v>-3.9968028886505635E-15</v>
      </c>
    </row>
    <row r="129" spans="1:14" x14ac:dyDescent="0.25">
      <c r="A129" s="36">
        <v>46060</v>
      </c>
      <c r="B129" s="198">
        <f t="shared" si="126"/>
        <v>6</v>
      </c>
      <c r="C129" t="str">
        <f t="shared" si="127"/>
        <v>Sa</v>
      </c>
      <c r="F129" s="193" t="b">
        <f t="shared" si="115"/>
        <v>0</v>
      </c>
      <c r="G129" s="193" t="str">
        <f t="shared" si="116"/>
        <v/>
      </c>
      <c r="H129" s="193" t="str">
        <f t="shared" si="129"/>
        <v/>
      </c>
      <c r="I129" s="193" t="str">
        <f t="shared" si="130"/>
        <v/>
      </c>
      <c r="J129" s="23">
        <f t="shared" si="128"/>
        <v>0</v>
      </c>
      <c r="K129" s="199" t="str">
        <f t="shared" si="132"/>
        <v/>
      </c>
      <c r="N129" s="197" t="str">
        <f t="shared" si="131"/>
        <v/>
      </c>
    </row>
    <row r="130" spans="1:14" x14ac:dyDescent="0.25">
      <c r="A130" s="36">
        <v>46059</v>
      </c>
      <c r="B130" s="198">
        <f t="shared" si="126"/>
        <v>5</v>
      </c>
      <c r="C130" t="str">
        <f t="shared" si="127"/>
        <v>Fr</v>
      </c>
      <c r="D130" s="193">
        <v>0.35416666666666669</v>
      </c>
      <c r="E130" s="193">
        <v>0.60416666666666663</v>
      </c>
      <c r="F130" s="193" t="b">
        <f t="shared" ref="F130:F135" si="133">AND(NOT(ISBLANK(D130)),NOT(ISBLANK(E130)))</f>
        <v>1</v>
      </c>
      <c r="G130" s="193">
        <f t="shared" ref="G130:G135" si="134">IF(F130,IF(AND(H130&gt;6/24,H130&lt;=9.5/24),0.5/24,IF(H130&gt;9.5/24,0.75/24,0)),"")</f>
        <v>0</v>
      </c>
      <c r="H130" s="193">
        <f t="shared" si="129"/>
        <v>0.24999999999999994</v>
      </c>
      <c r="I130" s="193">
        <f t="shared" si="130"/>
        <v>0.24999999999999994</v>
      </c>
      <c r="J130" s="23">
        <f t="shared" si="128"/>
        <v>0.60416666666666663</v>
      </c>
      <c r="K130" s="199">
        <f t="shared" si="132"/>
        <v>-1.3322676295501878E-15</v>
      </c>
      <c r="N130" s="197" t="str">
        <f t="shared" si="131"/>
        <v/>
      </c>
    </row>
    <row r="131" spans="1:14" x14ac:dyDescent="0.25">
      <c r="A131" s="36">
        <v>46058</v>
      </c>
      <c r="B131" s="198">
        <f t="shared" si="126"/>
        <v>4</v>
      </c>
      <c r="C131" t="str">
        <f t="shared" si="127"/>
        <v>Do</v>
      </c>
      <c r="D131" s="193">
        <v>0.34375</v>
      </c>
      <c r="E131" s="193">
        <v>0.72916666666666663</v>
      </c>
      <c r="F131" s="193" t="b">
        <f t="shared" si="133"/>
        <v>1</v>
      </c>
      <c r="G131" s="193">
        <f t="shared" si="134"/>
        <v>2.0833333333333332E-2</v>
      </c>
      <c r="H131" s="193">
        <f t="shared" si="129"/>
        <v>0.38541666666666663</v>
      </c>
      <c r="I131" s="193">
        <f t="shared" si="130"/>
        <v>0.36458333333333331</v>
      </c>
      <c r="J131" s="23">
        <f t="shared" si="128"/>
        <v>0.71875</v>
      </c>
      <c r="K131" s="199">
        <f t="shared" si="132"/>
        <v>0.24999999999999911</v>
      </c>
      <c r="N131" s="197" t="str">
        <f t="shared" si="131"/>
        <v/>
      </c>
    </row>
    <row r="132" spans="1:14" x14ac:dyDescent="0.25">
      <c r="A132" s="36">
        <v>46057</v>
      </c>
      <c r="B132" s="198">
        <f t="shared" si="126"/>
        <v>3</v>
      </c>
      <c r="C132" t="str">
        <f t="shared" si="127"/>
        <v>Mi</v>
      </c>
      <c r="D132" s="193">
        <v>0.33333333333333331</v>
      </c>
      <c r="E132" s="193">
        <v>0.71875</v>
      </c>
      <c r="F132" s="193" t="b">
        <f t="shared" si="133"/>
        <v>1</v>
      </c>
      <c r="G132" s="193">
        <f t="shared" si="134"/>
        <v>2.0833333333333332E-2</v>
      </c>
      <c r="H132" s="193">
        <f t="shared" si="129"/>
        <v>0.38541666666666669</v>
      </c>
      <c r="I132" s="193">
        <f t="shared" si="130"/>
        <v>0.36458333333333337</v>
      </c>
      <c r="J132" s="23">
        <f t="shared" si="128"/>
        <v>0.70833333333333337</v>
      </c>
      <c r="K132" s="199">
        <f t="shared" si="132"/>
        <v>0.25000000000000044</v>
      </c>
      <c r="N132" s="197" t="str">
        <f t="shared" si="131"/>
        <v/>
      </c>
    </row>
    <row r="133" spans="1:14" x14ac:dyDescent="0.25">
      <c r="A133" s="36">
        <v>46056</v>
      </c>
      <c r="B133" s="198">
        <f t="shared" si="126"/>
        <v>2</v>
      </c>
      <c r="C133" t="str">
        <f t="shared" si="127"/>
        <v>Di</v>
      </c>
      <c r="D133" s="193">
        <v>0.32291666666666669</v>
      </c>
      <c r="E133" s="193">
        <v>0.66666666666666663</v>
      </c>
      <c r="F133" s="193" t="b">
        <f t="shared" si="133"/>
        <v>1</v>
      </c>
      <c r="G133" s="193">
        <f t="shared" si="134"/>
        <v>2.0833333333333332E-2</v>
      </c>
      <c r="H133" s="193">
        <f t="shared" si="129"/>
        <v>0.34374999999999994</v>
      </c>
      <c r="I133" s="193">
        <f t="shared" si="130"/>
        <v>0.32291666666666663</v>
      </c>
      <c r="J133" s="23">
        <f t="shared" si="128"/>
        <v>0.69791666666666663</v>
      </c>
      <c r="K133" s="199">
        <f t="shared" si="132"/>
        <v>-0.75000000000000133</v>
      </c>
      <c r="N133" s="197" t="str">
        <f t="shared" si="131"/>
        <v/>
      </c>
    </row>
    <row r="134" spans="1:14" x14ac:dyDescent="0.25">
      <c r="A134" s="36">
        <v>46055</v>
      </c>
      <c r="B134" s="198">
        <f t="shared" si="126"/>
        <v>1</v>
      </c>
      <c r="C134" t="str">
        <f t="shared" si="127"/>
        <v>Mo</v>
      </c>
      <c r="D134" s="193">
        <v>0.34375</v>
      </c>
      <c r="E134" s="193">
        <v>0.72916666666666663</v>
      </c>
      <c r="F134" s="193" t="b">
        <f t="shared" si="133"/>
        <v>1</v>
      </c>
      <c r="G134" s="193">
        <f t="shared" si="134"/>
        <v>2.0833333333333332E-2</v>
      </c>
      <c r="H134" s="193">
        <f t="shared" si="129"/>
        <v>0.38541666666666663</v>
      </c>
      <c r="I134" s="193">
        <f t="shared" si="130"/>
        <v>0.36458333333333331</v>
      </c>
      <c r="J134" s="23">
        <f t="shared" si="128"/>
        <v>0.71875</v>
      </c>
      <c r="K134" s="199">
        <f t="shared" si="132"/>
        <v>0.24999999999999911</v>
      </c>
      <c r="N134" s="197" t="str">
        <f t="shared" si="131"/>
        <v/>
      </c>
    </row>
    <row r="135" spans="1:14" x14ac:dyDescent="0.25">
      <c r="A135" s="36">
        <v>46054</v>
      </c>
      <c r="B135" s="198">
        <f t="shared" si="126"/>
        <v>7</v>
      </c>
      <c r="C135" t="str">
        <f t="shared" si="127"/>
        <v>So</v>
      </c>
      <c r="F135" s="193" t="b">
        <f t="shared" si="133"/>
        <v>0</v>
      </c>
      <c r="G135" s="193" t="str">
        <f t="shared" si="134"/>
        <v/>
      </c>
      <c r="H135" s="193" t="str">
        <f t="shared" si="129"/>
        <v/>
      </c>
      <c r="I135" s="193" t="str">
        <f t="shared" si="130"/>
        <v/>
      </c>
      <c r="J135" s="23">
        <f t="shared" si="128"/>
        <v>0</v>
      </c>
      <c r="K135" s="199" t="str">
        <f t="shared" si="132"/>
        <v/>
      </c>
      <c r="N135" s="197">
        <f t="shared" si="131"/>
        <v>0</v>
      </c>
    </row>
    <row r="136" spans="1:14" x14ac:dyDescent="0.25">
      <c r="N136" s="197" t="str">
        <f t="shared" si="131"/>
        <v/>
      </c>
    </row>
  </sheetData>
  <sortState xmlns:xlrd2="http://schemas.microsoft.com/office/spreadsheetml/2017/richdata2" ref="S83:V87">
    <sortCondition descending="1" ref="S83:S87"/>
  </sortState>
  <phoneticPr fontId="16" type="noConversion"/>
  <conditionalFormatting sqref="G1:G1048576">
    <cfRule type="colorScale" priority="24">
      <colorScale>
        <cfvo type="num" val="0.5/24"/>
        <cfvo type="num" val="0.8/24"/>
        <color theme="9" tint="0.39997558519241921"/>
        <color theme="7" tint="0.59999389629810485"/>
      </colorScale>
    </cfRule>
  </conditionalFormatting>
  <conditionalFormatting sqref="A1:M1007">
    <cfRule type="expression" dxfId="19" priority="23">
      <formula>$B1&gt;5</formula>
    </cfRule>
  </conditionalFormatting>
  <conditionalFormatting sqref="K2:K135">
    <cfRule type="expression" dxfId="18" priority="18">
      <formula>AND($K2&lt;&gt;"",$K2&lt;0)</formula>
    </cfRule>
    <cfRule type="expression" dxfId="17" priority="19">
      <formula>AND($K2&lt;&gt;"",$K2&gt;=0)</formula>
    </cfRule>
  </conditionalFormatting>
  <conditionalFormatting sqref="M61 M63 M14 M7">
    <cfRule type="expression" dxfId="16" priority="34">
      <formula>$B6&gt;5</formula>
    </cfRule>
  </conditionalFormatting>
  <conditionalFormatting sqref="M48">
    <cfRule type="expression" dxfId="15" priority="37">
      <formula>$B50&gt;5</formula>
    </cfRule>
  </conditionalFormatting>
  <conditionalFormatting sqref="M35">
    <cfRule type="expression" dxfId="14" priority="40">
      <formula>$B43&gt;5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0D7909E-8025-4EF0-AB68-4734342E91AB}">
          <x14:formula1>
            <xm:f>TimetableSettings!$A$2:$A$46</xm:f>
          </x14:formula1>
          <xm:sqref>L14:L18 M12 M14 L21:L135 L7:L11 M5 M7 L2:L4</xm:sqref>
        </x14:dataValidation>
        <x14:dataValidation type="list" allowBlank="1" showInputMessage="1" showErrorMessage="1" xr:uid="{AAB28DEF-5CF1-4B07-AE6F-9B50F92EEE0F}">
          <x14:formula1>
            <xm:f>TimetableSettings!D64:D109</xm:f>
          </x14:formula1>
          <xm:sqref>L136:L137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D409-E187-4456-92B4-FA5FCD53A1C7}">
  <sheetPr codeName="Sheet7"/>
  <dimension ref="B1:AB107"/>
  <sheetViews>
    <sheetView zoomScaleNormal="100" workbookViewId="0">
      <selection activeCell="L14" sqref="L14:S27"/>
    </sheetView>
  </sheetViews>
  <sheetFormatPr defaultRowHeight="15" x14ac:dyDescent="0.25"/>
  <cols>
    <col min="2" max="2" width="7.28515625" bestFit="1" customWidth="1"/>
    <col min="3" max="5" width="10.5703125" style="95" bestFit="1" customWidth="1"/>
    <col min="6" max="6" width="12" style="95" bestFit="1" customWidth="1"/>
    <col min="7" max="7" width="11.28515625" style="95" bestFit="1" customWidth="1"/>
    <col min="8" max="9" width="10.5703125" style="95" bestFit="1" customWidth="1"/>
    <col min="10" max="10" width="4.85546875" bestFit="1" customWidth="1"/>
    <col min="12" max="12" width="9.7109375" bestFit="1" customWidth="1"/>
    <col min="13" max="16" width="10.5703125" style="95" bestFit="1" customWidth="1"/>
    <col min="17" max="18" width="11.7109375" style="95" bestFit="1" customWidth="1"/>
    <col min="19" max="19" width="10.85546875" style="95" bestFit="1" customWidth="1"/>
    <col min="20" max="20" width="4.85546875" bestFit="1" customWidth="1"/>
    <col min="22" max="22" width="10.140625" bestFit="1" customWidth="1"/>
    <col min="23" max="23" width="16.42578125" bestFit="1" customWidth="1"/>
    <col min="24" max="28" width="10.140625" bestFit="1" customWidth="1"/>
  </cols>
  <sheetData>
    <row r="1" spans="2:28" x14ac:dyDescent="0.25">
      <c r="B1" t="s">
        <v>68</v>
      </c>
      <c r="L1" t="s">
        <v>73</v>
      </c>
    </row>
    <row r="2" spans="2:28" ht="15.75" thickBot="1" x14ac:dyDescent="0.3">
      <c r="B2" s="53" t="s">
        <v>40</v>
      </c>
      <c r="C2" s="147" t="s">
        <v>60</v>
      </c>
      <c r="D2" s="147" t="s">
        <v>61</v>
      </c>
      <c r="E2" s="147" t="s">
        <v>62</v>
      </c>
      <c r="F2" s="147" t="s">
        <v>63</v>
      </c>
      <c r="G2" s="147" t="s">
        <v>64</v>
      </c>
      <c r="H2" s="147" t="s">
        <v>65</v>
      </c>
      <c r="I2" s="147" t="s">
        <v>66</v>
      </c>
      <c r="J2" s="53" t="s">
        <v>32</v>
      </c>
      <c r="L2" s="53" t="s">
        <v>40</v>
      </c>
      <c r="M2" s="147" t="s">
        <v>60</v>
      </c>
      <c r="N2" s="147" t="s">
        <v>61</v>
      </c>
      <c r="O2" s="147" t="s">
        <v>62</v>
      </c>
      <c r="P2" s="147" t="s">
        <v>63</v>
      </c>
      <c r="Q2" s="147" t="s">
        <v>64</v>
      </c>
      <c r="R2" s="147" t="s">
        <v>65</v>
      </c>
      <c r="S2" s="147" t="s">
        <v>66</v>
      </c>
      <c r="T2" s="53" t="s">
        <v>32</v>
      </c>
      <c r="V2" s="128"/>
      <c r="W2" s="160" t="s">
        <v>25</v>
      </c>
      <c r="X2" s="154"/>
      <c r="Y2" s="128"/>
      <c r="Z2" s="128"/>
      <c r="AA2" s="128"/>
      <c r="AB2" s="128"/>
    </row>
    <row r="3" spans="2:28" x14ac:dyDescent="0.25">
      <c r="B3" s="216">
        <v>1</v>
      </c>
      <c r="C3" s="168">
        <f>DATE(Statistik!$D$1,1,-2)-WEEKDAY(DATE(Statistik!$D$1,1,3))+B3*7</f>
        <v>46020</v>
      </c>
      <c r="D3" s="166">
        <f t="shared" ref="D3:I3" si="0">C3+1</f>
        <v>46021</v>
      </c>
      <c r="E3" s="166">
        <f t="shared" si="0"/>
        <v>46022</v>
      </c>
      <c r="F3" s="166">
        <f t="shared" si="0"/>
        <v>46023</v>
      </c>
      <c r="G3" s="166">
        <f t="shared" si="0"/>
        <v>46024</v>
      </c>
      <c r="H3" s="166">
        <f t="shared" si="0"/>
        <v>46025</v>
      </c>
      <c r="I3" s="166">
        <f t="shared" si="0"/>
        <v>46026</v>
      </c>
      <c r="J3" s="214">
        <f>COUNTIF(C4:I4,'pers. Daten'!$F$1)</f>
        <v>0</v>
      </c>
      <c r="L3" s="216">
        <v>27</v>
      </c>
      <c r="M3" s="63">
        <f>DATE(Statistik!$D$1,1,-2)-WEEKDAY(DATE(Statistik!$D$1,1,3))+L3*7</f>
        <v>46202</v>
      </c>
      <c r="N3" s="63">
        <f>M3+1</f>
        <v>46203</v>
      </c>
      <c r="O3" s="63">
        <f t="shared" ref="O3:S3" si="1">N3+1</f>
        <v>46204</v>
      </c>
      <c r="P3" s="63">
        <f t="shared" si="1"/>
        <v>46205</v>
      </c>
      <c r="Q3" s="63">
        <f t="shared" si="1"/>
        <v>46206</v>
      </c>
      <c r="R3" s="63">
        <f t="shared" si="1"/>
        <v>46207</v>
      </c>
      <c r="S3" s="63">
        <f t="shared" si="1"/>
        <v>46208</v>
      </c>
      <c r="T3" s="214">
        <f>COUNTIF(M4:S4,'pers. Daten'!$F$1)</f>
        <v>2</v>
      </c>
      <c r="V3" s="128"/>
      <c r="W3" s="161" t="s">
        <v>255</v>
      </c>
      <c r="X3" s="155"/>
      <c r="Y3" s="128"/>
      <c r="Z3" s="128"/>
      <c r="AA3" s="128"/>
      <c r="AB3" s="128"/>
    </row>
    <row r="4" spans="2:28" ht="15.75" thickBot="1" x14ac:dyDescent="0.3">
      <c r="B4" s="217"/>
      <c r="C4" s="175"/>
      <c r="D4" s="175"/>
      <c r="E4" s="175"/>
      <c r="F4" s="176" t="s">
        <v>229</v>
      </c>
      <c r="G4" s="127"/>
      <c r="H4" s="127" t="str" cm="1">
        <f t="array" ref="H4">IF(SUMPRODUCT(--(H3&gt;='Planung Abwesenheiten'!$A$23:$A$30),--(H3&lt;='Planung Abwesenheiten'!$B$23:$B$30))&gt;0, "Seminar",
 IF(SUMPRODUCT(--(H3&gt;='Planung Abwesenheiten'!$A$4:$A$11),--(H3&lt;='Planung Abwesenheiten'!$B$4:$B$11))&gt;0, "Urlaub", ""))</f>
        <v/>
      </c>
      <c r="I4" s="127" t="str" cm="1">
        <f t="array" ref="I4">IF(SUMPRODUCT(--(I3&gt;='Planung Abwesenheiten'!$A$23:$A$30),--(I3&lt;='Planung Abwesenheiten'!$B$23:$B$30))&gt;0, "Seminar",
 IF(SUMPRODUCT(--(I3&gt;='Planung Abwesenheiten'!$A$4:$A$11),--(I3&lt;='Planung Abwesenheiten'!$B$4:$B$11))&gt;0, "Urlaub", ""))</f>
        <v/>
      </c>
      <c r="J4" s="215"/>
      <c r="L4" s="217"/>
      <c r="M4" s="209" t="str" cm="1">
        <f t="array" ref="M4">IF(SUMPRODUCT(--(M3&gt;='Planung Abwesenheiten'!$A$23:$A$30),--(M3&lt;='Planung Abwesenheiten'!$B$23:$B$30))&gt;0, "Seminar",
 IF(SUMPRODUCT(--(M3&gt;='Planung Abwesenheiten'!$A$4:$A$11),--(M3&lt;='Planung Abwesenheiten'!$B$4:$B$11))&gt;0, "Urlaub", ""))</f>
        <v/>
      </c>
      <c r="N4" s="209" t="str" cm="1">
        <f t="array" ref="N4">IF(SUMPRODUCT(--(N3&gt;='Planung Abwesenheiten'!$A$23:$A$30),--(N3&lt;='Planung Abwesenheiten'!$B$23:$B$30))&gt;0, "Seminar",
 IF(SUMPRODUCT(--(N3&gt;='Planung Abwesenheiten'!$A$4:$A$11),--(N3&lt;='Planung Abwesenheiten'!$B$4:$B$11))&gt;0, "Urlaub", ""))</f>
        <v/>
      </c>
      <c r="O4" s="208" t="s">
        <v>22</v>
      </c>
      <c r="P4" s="127" t="str" cm="1">
        <f t="array" ref="P4">IF(SUMPRODUCT(--(P3&gt;='Planung Abwesenheiten'!$A$23:$A$30),--(P3&lt;='Planung Abwesenheiten'!$B$23:$B$30))&gt;0, "Seminar",
 IF(SUMPRODUCT(--(P3&gt;='Planung Abwesenheiten'!$A$4:$A$11),--(P3&lt;='Planung Abwesenheiten'!$B$4:$B$11))&gt;0, "Urlaub", ""))</f>
        <v/>
      </c>
      <c r="Q4" s="208" t="s">
        <v>22</v>
      </c>
      <c r="R4" s="127" t="str" cm="1">
        <f t="array" ref="R4">IF(SUMPRODUCT(--(R3&gt;='Planung Abwesenheiten'!$A$23:$A$30),--(R3&lt;='Planung Abwesenheiten'!$B$23:$B$30))&gt;0, "Seminar",
 IF(SUMPRODUCT(--(R3&gt;='Planung Abwesenheiten'!$A$4:$A$11),--(R3&lt;='Planung Abwesenheiten'!$B$4:$B$11))&gt;0, "Urlaub", ""))</f>
        <v/>
      </c>
      <c r="S4" s="127" t="str" cm="1">
        <f t="array" ref="S4">IF(SUMPRODUCT(--(S3&gt;='Planung Abwesenheiten'!$A$23:$A$30),--(S3&lt;='Planung Abwesenheiten'!$B$23:$B$30))&gt;0, "Seminar",
 IF(SUMPRODUCT(--(S3&gt;='Planung Abwesenheiten'!$A$4:$A$11),--(S3&lt;='Planung Abwesenheiten'!$B$4:$B$11))&gt;0, "Urlaub", ""))</f>
        <v/>
      </c>
      <c r="T4" s="215"/>
      <c r="V4" s="128"/>
      <c r="W4" s="162" t="s">
        <v>227</v>
      </c>
      <c r="X4" s="156"/>
      <c r="Y4" s="128"/>
      <c r="Z4" s="128"/>
      <c r="AA4" s="128"/>
      <c r="AB4" s="128"/>
    </row>
    <row r="5" spans="2:28" x14ac:dyDescent="0.25">
      <c r="B5" s="216">
        <f>B3+1</f>
        <v>2</v>
      </c>
      <c r="C5" s="166">
        <f>DATE(Statistik!$D$1,1,-2)-WEEKDAY(DATE(Statistik!$D$1,1,3))+B5*7</f>
        <v>46027</v>
      </c>
      <c r="D5" s="166">
        <f t="shared" ref="D5:I5" si="2">D3+7</f>
        <v>46028</v>
      </c>
      <c r="E5" s="63">
        <f t="shared" si="2"/>
        <v>46029</v>
      </c>
      <c r="F5" s="63">
        <f t="shared" si="2"/>
        <v>46030</v>
      </c>
      <c r="G5" s="63">
        <f t="shared" si="2"/>
        <v>46031</v>
      </c>
      <c r="H5" s="63">
        <f t="shared" si="2"/>
        <v>46032</v>
      </c>
      <c r="I5" s="63">
        <f t="shared" si="2"/>
        <v>46033</v>
      </c>
      <c r="J5" s="214">
        <f>COUNTIF(C6:I6,'pers. Daten'!$F$1)</f>
        <v>0</v>
      </c>
      <c r="L5" s="216">
        <f>L3+1</f>
        <v>28</v>
      </c>
      <c r="M5" s="63">
        <f>DATE(Statistik!$D$1,1,-2)-WEEKDAY(DATE(Statistik!$D$1,1,3))+L5*7</f>
        <v>46209</v>
      </c>
      <c r="N5" s="65">
        <f t="shared" ref="N5:S5" si="3">N3+7</f>
        <v>46210</v>
      </c>
      <c r="O5" s="65">
        <f t="shared" si="3"/>
        <v>46211</v>
      </c>
      <c r="P5" s="65">
        <f t="shared" si="3"/>
        <v>46212</v>
      </c>
      <c r="Q5" s="65">
        <f t="shared" si="3"/>
        <v>46213</v>
      </c>
      <c r="R5" s="65">
        <f t="shared" si="3"/>
        <v>46214</v>
      </c>
      <c r="S5" s="65">
        <f t="shared" si="3"/>
        <v>46215</v>
      </c>
      <c r="T5" s="214">
        <f>COUNTIF(M6:S6,'pers. Daten'!$F$1)</f>
        <v>2</v>
      </c>
      <c r="W5" s="163" t="s">
        <v>141</v>
      </c>
      <c r="X5" s="157"/>
    </row>
    <row r="6" spans="2:28" ht="15.75" thickBot="1" x14ac:dyDescent="0.3">
      <c r="B6" s="218"/>
      <c r="C6" s="127" t="str" cm="1">
        <f t="array" ref="C6">IF(SUMPRODUCT(--(C5&gt;='Planung Abwesenheiten'!$A$23:$A$30),--(C5&lt;='Planung Abwesenheiten'!$B$23:$B$30))&gt;0, "Seminar",
 IF(SUMPRODUCT(--(C5&gt;='Planung Abwesenheiten'!$A$4:$A$11),--(C5&lt;='Planung Abwesenheiten'!$B$4:$B$11))&gt;0, "Urlaub", ""))</f>
        <v/>
      </c>
      <c r="D6" s="172"/>
      <c r="E6" s="127" t="str" cm="1">
        <f t="array" ref="E6">IF(SUMPRODUCT(--(E5&gt;='Planung Abwesenheiten'!$A$23:$A$30),--(E5&lt;='Planung Abwesenheiten'!$B$23:$B$30))&gt;0, "Seminar",
 IF(SUMPRODUCT(--(E5&gt;='Planung Abwesenheiten'!$A$4:$A$11),--(E5&lt;='Planung Abwesenheiten'!$B$4:$B$11))&gt;0, "Urlaub", ""))</f>
        <v/>
      </c>
      <c r="F6" s="127" t="str" cm="1">
        <f t="array" ref="F6">IF(SUMPRODUCT(--(F5&gt;='Planung Abwesenheiten'!$A$23:$A$30),--(F5&lt;='Planung Abwesenheiten'!$B$23:$B$30))&gt;0, "Seminar",
 IF(SUMPRODUCT(--(F5&gt;='Planung Abwesenheiten'!$A$4:$A$11),--(F5&lt;='Planung Abwesenheiten'!$B$4:$B$11))&gt;0, "Urlaub", ""))</f>
        <v/>
      </c>
      <c r="G6" s="174"/>
      <c r="H6" s="127" t="str" cm="1">
        <f t="array" ref="H6">IF(SUMPRODUCT(--(H5&gt;='Planung Abwesenheiten'!$A$23:$A$30),--(H5&lt;='Planung Abwesenheiten'!$B$23:$B$30))&gt;0, "Seminar",
 IF(SUMPRODUCT(--(H5&gt;='Planung Abwesenheiten'!$A$4:$A$11),--(H5&lt;='Planung Abwesenheiten'!$B$4:$B$11))&gt;0, "Urlaub", ""))</f>
        <v/>
      </c>
      <c r="I6" s="127" t="str" cm="1">
        <f t="array" ref="I6">IF(SUMPRODUCT(--(I5&gt;='Planung Abwesenheiten'!$A$23:$A$30),--(I5&lt;='Planung Abwesenheiten'!$B$23:$B$30))&gt;0, "Seminar",
 IF(SUMPRODUCT(--(I5&gt;='Planung Abwesenheiten'!$A$4:$A$11),--(I5&lt;='Planung Abwesenheiten'!$B$4:$B$11))&gt;0, "Urlaub", ""))</f>
        <v/>
      </c>
      <c r="J6" s="215"/>
      <c r="L6" s="217"/>
      <c r="M6" s="127" t="str" cm="1">
        <f t="array" ref="M6">IF(SUMPRODUCT(--(M5&gt;='Planung Abwesenheiten'!$A$23:$A$30),--(M5&lt;='Planung Abwesenheiten'!$B$23:$B$30))&gt;0, "Seminar",
 IF(SUMPRODUCT(--(M5&gt;='Planung Abwesenheiten'!$A$4:$A$11),--(M5&lt;='Planung Abwesenheiten'!$B$4:$B$11))&gt;0, "Urlaub", ""))</f>
        <v/>
      </c>
      <c r="N6" s="127" t="s">
        <v>22</v>
      </c>
      <c r="O6" s="127" t="str" cm="1">
        <f t="array" ref="O6">IF(SUMPRODUCT(--(O5&gt;='Planung Abwesenheiten'!$A$23:$A$30),--(O5&lt;='Planung Abwesenheiten'!$B$23:$B$30))&gt;0, "Seminar",
 IF(SUMPRODUCT(--(O5&gt;='Planung Abwesenheiten'!$A$4:$A$11),--(O5&lt;='Planung Abwesenheiten'!$B$4:$B$11))&gt;0, "Urlaub", ""))</f>
        <v/>
      </c>
      <c r="P6" s="127" t="s">
        <v>22</v>
      </c>
      <c r="Q6" s="127" t="str" cm="1">
        <f t="array" ref="Q6">IF(SUMPRODUCT(--(Q5&gt;='Planung Abwesenheiten'!$A$23:$A$30),--(Q5&lt;='Planung Abwesenheiten'!$B$23:$B$30))&gt;0, "Seminar",
 IF(SUMPRODUCT(--(Q5&gt;='Planung Abwesenheiten'!$A$4:$A$11),--(Q5&lt;='Planung Abwesenheiten'!$B$4:$B$11))&gt;0, "Urlaub", ""))</f>
        <v/>
      </c>
      <c r="R6" s="127" t="str" cm="1">
        <f t="array" ref="R6">IF(SUMPRODUCT(--(R5&gt;='Planung Abwesenheiten'!$A$23:$A$30),--(R5&lt;='Planung Abwesenheiten'!$B$23:$B$30))&gt;0, "Seminar",
 IF(SUMPRODUCT(--(R5&gt;='Planung Abwesenheiten'!$A$4:$A$11),--(R5&lt;='Planung Abwesenheiten'!$B$4:$B$11))&gt;0, "Urlaub", ""))</f>
        <v/>
      </c>
      <c r="S6" s="127" t="str" cm="1">
        <f t="array" ref="S6">IF(SUMPRODUCT(--(S5&gt;='Planung Abwesenheiten'!$A$23:$A$30),--(S5&lt;='Planung Abwesenheiten'!$B$23:$B$30))&gt;0, "Seminar",
 IF(SUMPRODUCT(--(S5&gt;='Planung Abwesenheiten'!$A$4:$A$11),--(S5&lt;='Planung Abwesenheiten'!$B$4:$B$11))&gt;0, "Urlaub", ""))</f>
        <v/>
      </c>
      <c r="T6" s="215"/>
      <c r="W6" s="159" t="s">
        <v>82</v>
      </c>
      <c r="X6" s="158"/>
    </row>
    <row r="7" spans="2:28" x14ac:dyDescent="0.25">
      <c r="B7" s="216">
        <f>B5+1</f>
        <v>3</v>
      </c>
      <c r="C7" s="63">
        <f>DATE(Statistik!$D$1,1,-2)-WEEKDAY(DATE(Statistik!$D$1,1,3))+B7*7</f>
        <v>46034</v>
      </c>
      <c r="D7" s="63">
        <f t="shared" ref="D7:I7" si="4">D5+7</f>
        <v>46035</v>
      </c>
      <c r="E7" s="63">
        <f t="shared" si="4"/>
        <v>46036</v>
      </c>
      <c r="F7" s="63">
        <f t="shared" si="4"/>
        <v>46037</v>
      </c>
      <c r="G7" s="63">
        <f t="shared" si="4"/>
        <v>46038</v>
      </c>
      <c r="H7" s="63">
        <f t="shared" si="4"/>
        <v>46039</v>
      </c>
      <c r="I7" s="63">
        <f t="shared" si="4"/>
        <v>46040</v>
      </c>
      <c r="J7" s="214">
        <f>COUNTIF(C8:I8,'pers. Daten'!$F$1)</f>
        <v>0</v>
      </c>
      <c r="L7" s="216">
        <f>L5+1</f>
        <v>29</v>
      </c>
      <c r="M7" s="63">
        <f>DATE(Statistik!$D$1,1,-2)-WEEKDAY(DATE(Statistik!$D$1,1,3))+L7*7</f>
        <v>46216</v>
      </c>
      <c r="N7" s="65">
        <f t="shared" ref="N7:S7" si="5">N5+7</f>
        <v>46217</v>
      </c>
      <c r="O7" s="65">
        <f t="shared" si="5"/>
        <v>46218</v>
      </c>
      <c r="P7" s="65">
        <f t="shared" si="5"/>
        <v>46219</v>
      </c>
      <c r="Q7" s="65">
        <f t="shared" si="5"/>
        <v>46220</v>
      </c>
      <c r="R7" s="65">
        <f t="shared" si="5"/>
        <v>46221</v>
      </c>
      <c r="S7" s="65">
        <f t="shared" si="5"/>
        <v>46222</v>
      </c>
      <c r="T7" s="214">
        <f>COUNTIF(M8:S8,'pers. Daten'!$F$1)</f>
        <v>0</v>
      </c>
      <c r="W7" s="164" t="s">
        <v>228</v>
      </c>
      <c r="X7" s="165"/>
    </row>
    <row r="8" spans="2:28" ht="15.75" thickBot="1" x14ac:dyDescent="0.3">
      <c r="B8" s="217"/>
      <c r="C8" s="127" t="str" cm="1">
        <f t="array" ref="C8">IF(SUMPRODUCT(--(C7&gt;='Planung Abwesenheiten'!$A$23:$A$30),--(C7&lt;='Planung Abwesenheiten'!$B$23:$B$30))&gt;0, "Seminar",
 IF(SUMPRODUCT(--(C7&gt;='Planung Abwesenheiten'!$A$4:$A$11),--(C7&lt;='Planung Abwesenheiten'!$B$4:$B$11))&gt;0, "Urlaub", ""))</f>
        <v/>
      </c>
      <c r="D8"/>
      <c r="E8" s="127" t="str" cm="1">
        <f t="array" ref="E8">IF(SUMPRODUCT(--(E7&gt;='Planung Abwesenheiten'!$A$23:$A$30),--(E7&lt;='Planung Abwesenheiten'!$B$23:$B$30))&gt;0, "Seminar",
 IF(SUMPRODUCT(--(E7&gt;='Planung Abwesenheiten'!$A$4:$A$11),--(E7&lt;='Planung Abwesenheiten'!$B$4:$B$11))&gt;0, "Urlaub", ""))</f>
        <v/>
      </c>
      <c r="F8" s="127" t="str" cm="1">
        <f t="array" ref="F8">IF(SUMPRODUCT(--(F7&gt;='Planung Abwesenheiten'!$A$23:$A$30),--(F7&lt;='Planung Abwesenheiten'!$B$23:$B$30))&gt;0, "Seminar",
 IF(SUMPRODUCT(--(F7&gt;='Planung Abwesenheiten'!$A$4:$A$11),--(F7&lt;='Planung Abwesenheiten'!$B$4:$B$11))&gt;0, "Urlaub", ""))</f>
        <v/>
      </c>
      <c r="G8"/>
      <c r="H8" s="127" t="str" cm="1">
        <f t="array" ref="H8">IF(SUMPRODUCT(--(H7&gt;='Planung Abwesenheiten'!$A$23:$A$30),--(H7&lt;='Planung Abwesenheiten'!$B$23:$B$30))&gt;0, "Seminar",
 IF(SUMPRODUCT(--(H7&gt;='Planung Abwesenheiten'!$A$4:$A$11),--(H7&lt;='Planung Abwesenheiten'!$B$4:$B$11))&gt;0, "Urlaub", ""))</f>
        <v/>
      </c>
      <c r="I8" s="127" t="str" cm="1">
        <f t="array" ref="I8">IF(SUMPRODUCT(--(I7&gt;='Planung Abwesenheiten'!$A$23:$A$30),--(I7&lt;='Planung Abwesenheiten'!$B$23:$B$30))&gt;0, "Seminar",
 IF(SUMPRODUCT(--(I7&gt;='Planung Abwesenheiten'!$A$4:$A$11),--(I7&lt;='Planung Abwesenheiten'!$B$4:$B$11))&gt;0, "Urlaub", ""))</f>
        <v/>
      </c>
      <c r="J8" s="215"/>
      <c r="L8" s="217"/>
      <c r="M8" s="127" t="s">
        <v>29</v>
      </c>
      <c r="N8" s="127" t="s">
        <v>29</v>
      </c>
      <c r="O8" s="127" t="s">
        <v>29</v>
      </c>
      <c r="P8" s="127" t="s">
        <v>29</v>
      </c>
      <c r="Q8" s="127" t="s">
        <v>29</v>
      </c>
      <c r="R8" s="127" t="str" cm="1">
        <f t="array" ref="R8">IF(SUMPRODUCT(--(R7&gt;='Planung Abwesenheiten'!$A$23:$A$30),--(R7&lt;='Planung Abwesenheiten'!$B$23:$B$30))&gt;0, "Seminar",
 IF(SUMPRODUCT(--(R7&gt;='Planung Abwesenheiten'!$A$4:$A$11),--(R7&lt;='Planung Abwesenheiten'!$B$4:$B$11))&gt;0, "Urlaub", ""))</f>
        <v/>
      </c>
      <c r="S8" s="127" t="str" cm="1">
        <f t="array" ref="S8">IF(SUMPRODUCT(--(S7&gt;='Planung Abwesenheiten'!$A$23:$A$30),--(S7&lt;='Planung Abwesenheiten'!$B$23:$B$30))&gt;0, "Seminar",
 IF(SUMPRODUCT(--(S7&gt;='Planung Abwesenheiten'!$A$4:$A$11),--(S7&lt;='Planung Abwesenheiten'!$B$4:$B$11))&gt;0, "Urlaub", ""))</f>
        <v/>
      </c>
      <c r="T8" s="215"/>
    </row>
    <row r="9" spans="2:28" x14ac:dyDescent="0.25">
      <c r="B9" s="216">
        <f>B7+1</f>
        <v>4</v>
      </c>
      <c r="C9" s="63">
        <f>DATE(Statistik!$D$1,1,-2)-WEEKDAY(DATE(Statistik!$D$1,1,3))+B9*7</f>
        <v>46041</v>
      </c>
      <c r="D9" s="63">
        <f t="shared" ref="D9:I9" si="6">D7+7</f>
        <v>46042</v>
      </c>
      <c r="E9" s="63">
        <f t="shared" si="6"/>
        <v>46043</v>
      </c>
      <c r="F9" s="63">
        <f t="shared" si="6"/>
        <v>46044</v>
      </c>
      <c r="G9" s="63">
        <f t="shared" si="6"/>
        <v>46045</v>
      </c>
      <c r="H9" s="63">
        <f t="shared" si="6"/>
        <v>46046</v>
      </c>
      <c r="I9" s="63">
        <f t="shared" si="6"/>
        <v>46047</v>
      </c>
      <c r="J9" s="214">
        <f>COUNTIF(C10:I10,'pers. Daten'!$F$1)</f>
        <v>0</v>
      </c>
      <c r="L9" s="216">
        <f>L7+1</f>
        <v>30</v>
      </c>
      <c r="M9" s="166">
        <f>DATE(Statistik!$D$1,1,-2)-WEEKDAY(DATE(Statistik!$D$1,1,3))+L9*7</f>
        <v>46223</v>
      </c>
      <c r="N9" s="167">
        <f t="shared" ref="N9:S9" si="7">N7+7</f>
        <v>46224</v>
      </c>
      <c r="O9" s="167">
        <f t="shared" si="7"/>
        <v>46225</v>
      </c>
      <c r="P9" s="167">
        <f t="shared" si="7"/>
        <v>46226</v>
      </c>
      <c r="Q9" s="167">
        <f t="shared" si="7"/>
        <v>46227</v>
      </c>
      <c r="R9" s="167">
        <f t="shared" si="7"/>
        <v>46228</v>
      </c>
      <c r="S9" s="167">
        <f t="shared" si="7"/>
        <v>46229</v>
      </c>
      <c r="T9" s="214">
        <f>COUNTIF(M10:S10,'pers. Daten'!$F$1)</f>
        <v>0</v>
      </c>
    </row>
    <row r="10" spans="2:28" ht="15.75" thickBot="1" x14ac:dyDescent="0.3">
      <c r="B10" s="217"/>
      <c r="C10" s="127" t="str" cm="1">
        <f t="array" ref="C10">IF(SUMPRODUCT(--(C9&gt;='Planung Abwesenheiten'!$A$23:$A$30),--(C9&lt;='Planung Abwesenheiten'!$B$23:$B$30))&gt;0, "Seminar",
 IF(SUMPRODUCT(--(C9&gt;='Planung Abwesenheiten'!$A$4:$A$11),--(C9&lt;='Planung Abwesenheiten'!$B$4:$B$11))&gt;0, "Urlaub", ""))</f>
        <v/>
      </c>
      <c r="D10" s="127" t="str" cm="1">
        <f t="array" ref="D10">IF(SUMPRODUCT(--(D9&gt;='Planung Abwesenheiten'!$A$23:$A$30),--(D9&lt;='Planung Abwesenheiten'!$B$23:$B$30))&gt;0, "Seminar",
 IF(SUMPRODUCT(--(D9&gt;='Planung Abwesenheiten'!$A$4:$A$11),--(D9&lt;='Planung Abwesenheiten'!$B$4:$B$11))&gt;0, "Urlaub", ""))</f>
        <v/>
      </c>
      <c r="E10" s="174"/>
      <c r="F10" s="127" t="str" cm="1">
        <f t="array" ref="F10">IF(SUMPRODUCT(--(F9&gt;='Planung Abwesenheiten'!$A$23:$A$30),--(F9&lt;='Planung Abwesenheiten'!$B$23:$B$30))&gt;0, "Seminar",
 IF(SUMPRODUCT(--(F9&gt;='Planung Abwesenheiten'!$A$4:$A$11),--(F9&lt;='Planung Abwesenheiten'!$B$4:$B$11))&gt;0, "Urlaub", ""))</f>
        <v/>
      </c>
      <c r="G10" s="174"/>
      <c r="H10" s="127"/>
      <c r="I10" s="127" t="str" cm="1">
        <f t="array" ref="I10">IF(SUMPRODUCT(--(I9&gt;='Planung Abwesenheiten'!$A$23:$A$30),--(I9&lt;='Planung Abwesenheiten'!$B$23:$B$30))&gt;0, "Seminar",
 IF(SUMPRODUCT(--(I9&gt;='Planung Abwesenheiten'!$A$4:$A$11),--(I9&lt;='Planung Abwesenheiten'!$B$4:$B$11))&gt;0, "Urlaub", ""))</f>
        <v/>
      </c>
      <c r="J10" s="215"/>
      <c r="L10" s="217"/>
      <c r="M10" s="127" t="s">
        <v>29</v>
      </c>
      <c r="N10" s="127" t="s">
        <v>29</v>
      </c>
      <c r="O10" s="127" t="s">
        <v>29</v>
      </c>
      <c r="P10" s="127" t="s">
        <v>29</v>
      </c>
      <c r="Q10" s="127" t="s">
        <v>29</v>
      </c>
      <c r="R10" s="127" t="str" cm="1">
        <f t="array" ref="R10">IF(SUMPRODUCT(--(R9&gt;='Planung Abwesenheiten'!$A$23:$A$30),--(R9&lt;='Planung Abwesenheiten'!$B$23:$B$30))&gt;0, "Seminar",
 IF(SUMPRODUCT(--(R9&gt;='Planung Abwesenheiten'!$A$4:$A$11),--(R9&lt;='Planung Abwesenheiten'!$B$4:$B$11))&gt;0, "Urlaub", ""))</f>
        <v/>
      </c>
      <c r="S10" s="127" t="str" cm="1">
        <f t="array" ref="S10">IF(SUMPRODUCT(--(S9&gt;='Planung Abwesenheiten'!$A$23:$A$30),--(S9&lt;='Planung Abwesenheiten'!$B$23:$B$30))&gt;0, "Seminar",
 IF(SUMPRODUCT(--(S9&gt;='Planung Abwesenheiten'!$A$4:$A$11),--(S9&lt;='Planung Abwesenheiten'!$B$4:$B$11))&gt;0, "Urlaub", ""))</f>
        <v/>
      </c>
      <c r="T10" s="215"/>
      <c r="W10" t="s">
        <v>29</v>
      </c>
      <c r="X10">
        <f>COUNTIF(B1:U94,"Urlaub")</f>
        <v>28</v>
      </c>
    </row>
    <row r="11" spans="2:28" x14ac:dyDescent="0.25">
      <c r="B11" s="216">
        <f>B9+1</f>
        <v>5</v>
      </c>
      <c r="C11" s="63">
        <f>DATE(Statistik!$D$1,1,-2)-WEEKDAY(DATE(Statistik!$D$1,1,3))+B11*7</f>
        <v>46048</v>
      </c>
      <c r="D11" s="63">
        <f t="shared" ref="D11:I11" si="8">D9+7</f>
        <v>46049</v>
      </c>
      <c r="E11" s="63">
        <f t="shared" si="8"/>
        <v>46050</v>
      </c>
      <c r="F11" s="63">
        <f t="shared" si="8"/>
        <v>46051</v>
      </c>
      <c r="G11" s="63">
        <f t="shared" si="8"/>
        <v>46052</v>
      </c>
      <c r="H11" s="63">
        <f t="shared" si="8"/>
        <v>46053</v>
      </c>
      <c r="I11" s="63">
        <f t="shared" si="8"/>
        <v>46054</v>
      </c>
      <c r="J11" s="214">
        <f>COUNTIF(C12:I12,'pers. Daten'!$F$1)</f>
        <v>0</v>
      </c>
      <c r="L11" s="216">
        <f>L9+1</f>
        <v>31</v>
      </c>
      <c r="M11" s="166">
        <f>DATE(Statistik!$D$1,1,-2)-WEEKDAY(DATE(Statistik!$D$1,1,3))+L11*7</f>
        <v>46230</v>
      </c>
      <c r="N11" s="167">
        <f t="shared" ref="N11:S11" si="9">N9+7</f>
        <v>46231</v>
      </c>
      <c r="O11" s="167">
        <f t="shared" si="9"/>
        <v>46232</v>
      </c>
      <c r="P11" s="167">
        <f t="shared" si="9"/>
        <v>46233</v>
      </c>
      <c r="Q11" s="167">
        <f t="shared" si="9"/>
        <v>46234</v>
      </c>
      <c r="R11" s="167">
        <f t="shared" si="9"/>
        <v>46235</v>
      </c>
      <c r="S11" s="167">
        <f t="shared" si="9"/>
        <v>46236</v>
      </c>
      <c r="T11" s="214">
        <f>COUNTIF(M12:S12,'pers. Daten'!$F$1)</f>
        <v>0</v>
      </c>
    </row>
    <row r="12" spans="2:28" ht="15.75" thickBot="1" x14ac:dyDescent="0.3">
      <c r="B12" s="217"/>
      <c r="C12" s="127" t="str" cm="1">
        <f t="array" ref="C12">IF(SUMPRODUCT(--(C11&gt;='Planung Abwesenheiten'!$A$23:$A$30),--(C11&lt;='Planung Abwesenheiten'!$B$23:$B$30))&gt;0, "Seminar",
 IF(SUMPRODUCT(--(C11&gt;='Planung Abwesenheiten'!$A$4:$A$11),--(C11&lt;='Planung Abwesenheiten'!$B$4:$B$11))&gt;0, "Urlaub", ""))</f>
        <v/>
      </c>
      <c r="D12" s="174"/>
      <c r="E12" s="127" t="str" cm="1">
        <f t="array" ref="E12">IF(SUMPRODUCT(--(E11&gt;='Planung Abwesenheiten'!$A$23:$A$30),--(E11&lt;='Planung Abwesenheiten'!$B$23:$B$30))&gt;0, "Seminar",
 IF(SUMPRODUCT(--(E11&gt;='Planung Abwesenheiten'!$A$4:$A$11),--(E11&lt;='Planung Abwesenheiten'!$B$4:$B$11))&gt;0, "Urlaub", ""))</f>
        <v/>
      </c>
      <c r="F12" s="127" t="str" cm="1">
        <f t="array" ref="F12">IF(SUMPRODUCT(--(F11&gt;='Planung Abwesenheiten'!$A$23:$A$30),--(F11&lt;='Planung Abwesenheiten'!$B$23:$B$30))&gt;0, "Seminar",
 IF(SUMPRODUCT(--(F11&gt;='Planung Abwesenheiten'!$A$4:$A$11),--(F11&lt;='Planung Abwesenheiten'!$B$4:$B$11))&gt;0, "Urlaub", ""))</f>
        <v/>
      </c>
      <c r="G12" s="174"/>
      <c r="H12" s="127" t="str" cm="1">
        <f t="array" ref="H12">IF(SUMPRODUCT(--(H11&gt;='Planung Abwesenheiten'!$A$23:$A$30),--(H11&lt;='Planung Abwesenheiten'!$B$23:$B$30))&gt;0, "Seminar",
 IF(SUMPRODUCT(--(H11&gt;='Planung Abwesenheiten'!$A$4:$A$11),--(H11&lt;='Planung Abwesenheiten'!$B$4:$B$11))&gt;0, "Urlaub", ""))</f>
        <v/>
      </c>
      <c r="I12" s="127" t="str" cm="1">
        <f t="array" ref="I12">IF(SUMPRODUCT(--(I11&gt;='Planung Abwesenheiten'!$A$23:$A$30),--(I11&lt;='Planung Abwesenheiten'!$B$23:$B$30))&gt;0, "Seminar",
 IF(SUMPRODUCT(--(I11&gt;='Planung Abwesenheiten'!$A$4:$A$11),--(I11&lt;='Planung Abwesenheiten'!$B$4:$B$11))&gt;0, "Urlaub", ""))</f>
        <v/>
      </c>
      <c r="J12" s="215"/>
      <c r="L12" s="217"/>
      <c r="M12" s="127" t="s">
        <v>29</v>
      </c>
      <c r="N12" s="127" t="s">
        <v>29</v>
      </c>
      <c r="O12" s="127" t="s">
        <v>29</v>
      </c>
      <c r="P12" s="127" t="s">
        <v>29</v>
      </c>
      <c r="Q12" s="127" t="s">
        <v>29</v>
      </c>
      <c r="R12" s="209" t="str" cm="1">
        <f t="array" ref="R12">IF(SUMPRODUCT(--(R11&gt;='Planung Abwesenheiten'!$A$23:$A$30),--(R11&lt;='Planung Abwesenheiten'!$B$23:$B$30))&gt;0, "Seminar",
 IF(SUMPRODUCT(--(R11&gt;='Planung Abwesenheiten'!$A$4:$A$11),--(R11&lt;='Planung Abwesenheiten'!$B$4:$B$11))&gt;0, "Urlaub", ""))</f>
        <v/>
      </c>
      <c r="S12" s="209" t="str" cm="1">
        <f t="array" ref="S12">IF(SUMPRODUCT(--(S11&gt;='Planung Abwesenheiten'!$A$23:$A$30),--(S11&lt;='Planung Abwesenheiten'!$B$23:$B$30))&gt;0, "Seminar",
 IF(SUMPRODUCT(--(S11&gt;='Planung Abwesenheiten'!$A$4:$A$11),--(S11&lt;='Planung Abwesenheiten'!$B$4:$B$11))&gt;0, "Urlaub", ""))</f>
        <v/>
      </c>
      <c r="T12" s="215"/>
    </row>
    <row r="13" spans="2:28" x14ac:dyDescent="0.25">
      <c r="J13" s="54">
        <f>SUM(J3:J11)</f>
        <v>0</v>
      </c>
      <c r="T13" s="54">
        <f>SUM(T3:T11)</f>
        <v>4</v>
      </c>
    </row>
    <row r="14" spans="2:28" x14ac:dyDescent="0.25">
      <c r="B14" t="s">
        <v>67</v>
      </c>
      <c r="L14" t="s">
        <v>74</v>
      </c>
    </row>
    <row r="15" spans="2:28" ht="15.75" thickBot="1" x14ac:dyDescent="0.3">
      <c r="B15" s="53" t="s">
        <v>40</v>
      </c>
      <c r="C15" s="147" t="s">
        <v>60</v>
      </c>
      <c r="D15" s="147" t="s">
        <v>61</v>
      </c>
      <c r="E15" s="147" t="s">
        <v>62</v>
      </c>
      <c r="F15" s="147" t="s">
        <v>63</v>
      </c>
      <c r="G15" s="147" t="s">
        <v>64</v>
      </c>
      <c r="H15" s="147" t="s">
        <v>65</v>
      </c>
      <c r="I15" s="147" t="s">
        <v>66</v>
      </c>
      <c r="J15" s="53" t="s">
        <v>32</v>
      </c>
      <c r="L15" s="53" t="s">
        <v>40</v>
      </c>
      <c r="M15" s="147" t="s">
        <v>60</v>
      </c>
      <c r="N15" s="147" t="s">
        <v>61</v>
      </c>
      <c r="O15" s="147" t="s">
        <v>62</v>
      </c>
      <c r="P15" s="147" t="s">
        <v>63</v>
      </c>
      <c r="Q15" s="147" t="s">
        <v>64</v>
      </c>
      <c r="R15" s="147" t="s">
        <v>65</v>
      </c>
      <c r="S15" s="147" t="s">
        <v>66</v>
      </c>
      <c r="T15" s="53" t="s">
        <v>32</v>
      </c>
    </row>
    <row r="16" spans="2:28" x14ac:dyDescent="0.25">
      <c r="B16" s="216">
        <v>5</v>
      </c>
      <c r="C16" s="63">
        <f>DATE(Statistik!$D$1,1,-2)-WEEKDAY(DATE(Statistik!$D$1,1,3))+B16*7</f>
        <v>46048</v>
      </c>
      <c r="D16" s="63">
        <f t="shared" ref="D16:I16" si="10">C16+1</f>
        <v>46049</v>
      </c>
      <c r="E16" s="63">
        <f t="shared" si="10"/>
        <v>46050</v>
      </c>
      <c r="F16" s="63">
        <f t="shared" si="10"/>
        <v>46051</v>
      </c>
      <c r="G16" s="63">
        <f t="shared" si="10"/>
        <v>46052</v>
      </c>
      <c r="H16" s="63">
        <f t="shared" si="10"/>
        <v>46053</v>
      </c>
      <c r="I16" s="63">
        <f t="shared" si="10"/>
        <v>46054</v>
      </c>
      <c r="J16" s="214">
        <f>COUNTIF(C17:I17,'pers. Daten'!$F$1)</f>
        <v>0</v>
      </c>
      <c r="L16" s="216">
        <v>31</v>
      </c>
      <c r="M16" s="166">
        <f>DATE(Statistik!$D$1,1,-2)-WEEKDAY(DATE(Statistik!$D$1,1,3))+L16*7</f>
        <v>46230</v>
      </c>
      <c r="N16" s="166">
        <f>M16+1</f>
        <v>46231</v>
      </c>
      <c r="O16" s="166">
        <f t="shared" ref="O16:S16" si="11">N16+1</f>
        <v>46232</v>
      </c>
      <c r="P16" s="166">
        <f t="shared" si="11"/>
        <v>46233</v>
      </c>
      <c r="Q16" s="166">
        <f t="shared" si="11"/>
        <v>46234</v>
      </c>
      <c r="R16" s="166">
        <f t="shared" si="11"/>
        <v>46235</v>
      </c>
      <c r="S16" s="166">
        <f t="shared" si="11"/>
        <v>46236</v>
      </c>
      <c r="T16" s="214">
        <f>COUNTIF(M17:S17,'pers. Daten'!$F$1)</f>
        <v>0</v>
      </c>
    </row>
    <row r="17" spans="2:22" ht="15.75" thickBot="1" x14ac:dyDescent="0.3">
      <c r="B17" s="217"/>
      <c r="C17" s="127" t="str" cm="1">
        <f t="array" ref="C17">IF(SUMPRODUCT(--(C16&gt;='Planung Abwesenheiten'!$A$23:$A$30),--(C16&lt;='Planung Abwesenheiten'!$B$23:$B$30))&gt;0, "Seminar",
 IF(SUMPRODUCT(--(C16&gt;='Planung Abwesenheiten'!$A$4:$A$11),--(C16&lt;='Planung Abwesenheiten'!$B$4:$B$11))&gt;0, "Urlaub", ""))</f>
        <v/>
      </c>
      <c r="D17" s="127" t="str" cm="1">
        <f t="array" ref="D17">IF(SUMPRODUCT(--(D16&gt;='Planung Abwesenheiten'!$A$23:$A$30),--(D16&lt;='Planung Abwesenheiten'!$B$23:$B$30))&gt;0, "Seminar",
 IF(SUMPRODUCT(--(D16&gt;='Planung Abwesenheiten'!$A$4:$A$11),--(D16&lt;='Planung Abwesenheiten'!$B$4:$B$11))&gt;0, "Urlaub", ""))</f>
        <v/>
      </c>
      <c r="E17" s="127" t="str" cm="1">
        <f t="array" ref="E17">IF(SUMPRODUCT(--(E16&gt;='Planung Abwesenheiten'!$A$23:$A$30),--(E16&lt;='Planung Abwesenheiten'!$B$23:$B$30))&gt;0, "Seminar",
 IF(SUMPRODUCT(--(E16&gt;='Planung Abwesenheiten'!$A$4:$A$11),--(E16&lt;='Planung Abwesenheiten'!$B$4:$B$11))&gt;0, "Urlaub", ""))</f>
        <v/>
      </c>
      <c r="F17" s="127" t="str" cm="1">
        <f t="array" ref="F17">IF(SUMPRODUCT(--(F16&gt;='Planung Abwesenheiten'!$A$23:$A$30),--(F16&lt;='Planung Abwesenheiten'!$B$23:$B$30))&gt;0, "Seminar",
 IF(SUMPRODUCT(--(F16&gt;='Planung Abwesenheiten'!$A$4:$A$11),--(F16&lt;='Planung Abwesenheiten'!$B$4:$B$11))&gt;0, "Urlaub", ""))</f>
        <v/>
      </c>
      <c r="G17" s="127" t="str" cm="1">
        <f t="array" ref="G17">IF(SUMPRODUCT(--(G16&gt;='Planung Abwesenheiten'!$A$23:$A$30),--(G16&lt;='Planung Abwesenheiten'!$B$23:$B$30))&gt;0, "Seminar",
 IF(SUMPRODUCT(--(G16&gt;='Planung Abwesenheiten'!$A$4:$A$11),--(G16&lt;='Planung Abwesenheiten'!$B$4:$B$11))&gt;0, "Urlaub", ""))</f>
        <v/>
      </c>
      <c r="H17" s="127" t="str" cm="1">
        <f t="array" ref="H17">IF(SUMPRODUCT(--(H16&gt;='Planung Abwesenheiten'!$A$23:$A$30),--(H16&lt;='Planung Abwesenheiten'!$B$23:$B$30))&gt;0, "Seminar",
 IF(SUMPRODUCT(--(H16&gt;='Planung Abwesenheiten'!$A$4:$A$11),--(H16&lt;='Planung Abwesenheiten'!$B$4:$B$11))&gt;0, "Urlaub", ""))</f>
        <v/>
      </c>
      <c r="I17" s="127" t="str" cm="1">
        <f t="array" ref="I17">IF(SUMPRODUCT(--(I16&gt;='Planung Abwesenheiten'!$A$23:$A$30),--(I16&lt;='Planung Abwesenheiten'!$B$23:$B$30))&gt;0, "Seminar",
 IF(SUMPRODUCT(--(I16&gt;='Planung Abwesenheiten'!$A$4:$A$11),--(I16&lt;='Planung Abwesenheiten'!$B$4:$B$11))&gt;0, "Urlaub", ""))</f>
        <v/>
      </c>
      <c r="J17" s="215"/>
      <c r="L17" s="217"/>
      <c r="M17" s="209" t="str" cm="1">
        <f t="array" ref="M17">IF(SUMPRODUCT(--(M16&gt;='Planung Abwesenheiten'!$A$23:$A$30),--(M16&lt;='Planung Abwesenheiten'!$B$23:$B$30))&gt;0, "Seminar",
 IF(SUMPRODUCT(--(M16&gt;='Planung Abwesenheiten'!$A$4:$A$11),--(M16&lt;='Planung Abwesenheiten'!$B$4:$B$11))&gt;0, "Urlaub", ""))</f>
        <v/>
      </c>
      <c r="N17" s="209" t="str" cm="1">
        <f t="array" ref="N17">IF(SUMPRODUCT(--(N16&gt;='Planung Abwesenheiten'!$A$23:$A$30),--(N16&lt;='Planung Abwesenheiten'!$B$23:$B$30))&gt;0, "Seminar",
 IF(SUMPRODUCT(--(N16&gt;='Planung Abwesenheiten'!$A$4:$A$11),--(N16&lt;='Planung Abwesenheiten'!$B$4:$B$11))&gt;0, "Urlaub", ""))</f>
        <v/>
      </c>
      <c r="O17" s="209" t="str" cm="1">
        <f t="array" ref="O17">IF(SUMPRODUCT(--(O16&gt;='Planung Abwesenheiten'!$A$23:$A$30),--(O16&lt;='Planung Abwesenheiten'!$B$23:$B$30))&gt;0, "Seminar",
 IF(SUMPRODUCT(--(O16&gt;='Planung Abwesenheiten'!$A$4:$A$11),--(O16&lt;='Planung Abwesenheiten'!$B$4:$B$11))&gt;0, "Urlaub", ""))</f>
        <v/>
      </c>
      <c r="P17" s="209" t="str" cm="1">
        <f t="array" ref="P17">IF(SUMPRODUCT(--(P16&gt;='Planung Abwesenheiten'!$A$23:$A$30),--(P16&lt;='Planung Abwesenheiten'!$B$23:$B$30))&gt;0, "Seminar",
 IF(SUMPRODUCT(--(P16&gt;='Planung Abwesenheiten'!$A$4:$A$11),--(P16&lt;='Planung Abwesenheiten'!$B$4:$B$11))&gt;0, "Urlaub", ""))</f>
        <v/>
      </c>
      <c r="Q17" s="209" t="str" cm="1">
        <f t="array" ref="Q17">IF(SUMPRODUCT(--(Q16&gt;='Planung Abwesenheiten'!$A$23:$A$30),--(Q16&lt;='Planung Abwesenheiten'!$B$23:$B$30))&gt;0, "Seminar",
 IF(SUMPRODUCT(--(Q16&gt;='Planung Abwesenheiten'!$A$4:$A$11),--(Q16&lt;='Planung Abwesenheiten'!$B$4:$B$11))&gt;0, "Urlaub", ""))</f>
        <v/>
      </c>
      <c r="R17" s="127" t="str" cm="1">
        <f t="array" ref="R17">IF(SUMPRODUCT(--(R16&gt;='Planung Abwesenheiten'!$A$23:$A$30),--(R16&lt;='Planung Abwesenheiten'!$B$23:$B$30))&gt;0, "Seminar",
 IF(SUMPRODUCT(--(R16&gt;='Planung Abwesenheiten'!$A$4:$A$11),--(R16&lt;='Planung Abwesenheiten'!$B$4:$B$11))&gt;0, "Urlaub", ""))</f>
        <v/>
      </c>
      <c r="S17" s="127" t="str" cm="1">
        <f t="array" ref="S17">IF(SUMPRODUCT(--(S16&gt;='Planung Abwesenheiten'!$A$23:$A$30),--(S16&lt;='Planung Abwesenheiten'!$B$23:$B$30))&gt;0, "Seminar",
 IF(SUMPRODUCT(--(S16&gt;='Planung Abwesenheiten'!$A$4:$A$11),--(S16&lt;='Planung Abwesenheiten'!$B$4:$B$11))&gt;0, "Urlaub", ""))</f>
        <v/>
      </c>
      <c r="T17" s="215"/>
    </row>
    <row r="18" spans="2:22" x14ac:dyDescent="0.25">
      <c r="B18" s="216">
        <f>B16+1</f>
        <v>6</v>
      </c>
      <c r="C18" s="63">
        <f>DATE(Statistik!$D$1,1,-2)-WEEKDAY(DATE(Statistik!$D$1,1,3))+B18*7</f>
        <v>46055</v>
      </c>
      <c r="D18" s="65">
        <f t="shared" ref="D18:I24" si="12">D16+7</f>
        <v>46056</v>
      </c>
      <c r="E18" s="65">
        <f t="shared" si="12"/>
        <v>46057</v>
      </c>
      <c r="F18" s="65">
        <f t="shared" si="12"/>
        <v>46058</v>
      </c>
      <c r="G18" s="65">
        <f t="shared" si="12"/>
        <v>46059</v>
      </c>
      <c r="H18" s="65">
        <f t="shared" si="12"/>
        <v>46060</v>
      </c>
      <c r="I18" s="65">
        <f t="shared" si="12"/>
        <v>46061</v>
      </c>
      <c r="J18" s="214">
        <f>COUNTIF(C19:I19,'pers. Daten'!$F$1)</f>
        <v>0</v>
      </c>
      <c r="L18" s="216">
        <f>L16+1</f>
        <v>32</v>
      </c>
      <c r="M18" s="166">
        <f>DATE(Statistik!$D$1,1,-2)-WEEKDAY(DATE(Statistik!$D$1,1,3))+L18*7</f>
        <v>46237</v>
      </c>
      <c r="N18" s="167">
        <f t="shared" ref="N18:S24" si="13">N16+7</f>
        <v>46238</v>
      </c>
      <c r="O18" s="167">
        <f t="shared" si="13"/>
        <v>46239</v>
      </c>
      <c r="P18" s="167">
        <f t="shared" si="13"/>
        <v>46240</v>
      </c>
      <c r="Q18" s="167">
        <f t="shared" si="13"/>
        <v>46241</v>
      </c>
      <c r="R18" s="167">
        <f t="shared" si="13"/>
        <v>46242</v>
      </c>
      <c r="S18" s="167">
        <f t="shared" si="13"/>
        <v>46243</v>
      </c>
      <c r="T18" s="214">
        <f>COUNTIF(M19:S19,'pers. Daten'!$F$1)</f>
        <v>2</v>
      </c>
    </row>
    <row r="19" spans="2:22" ht="15.75" thickBot="1" x14ac:dyDescent="0.3">
      <c r="B19" s="217"/>
      <c r="C19" s="127" t="str" cm="1">
        <f t="array" ref="C19">IF(SUMPRODUCT(--(C18&gt;='Planung Abwesenheiten'!$A$23:$A$30),--(C18&lt;='Planung Abwesenheiten'!$B$23:$B$30))&gt;0, "Seminar",
 IF(SUMPRODUCT(--(C18&gt;='Planung Abwesenheiten'!$A$4:$A$11),--(C18&lt;='Planung Abwesenheiten'!$B$4:$B$11))&gt;0, "Urlaub", ""))</f>
        <v/>
      </c>
      <c r="D19" s="127" t="str" cm="1">
        <f t="array" ref="D19">IF(SUMPRODUCT(--(D18&gt;='Planung Abwesenheiten'!$A$23:$A$30),--(D18&lt;='Planung Abwesenheiten'!$B$23:$B$30))&gt;0, "Seminar",
 IF(SUMPRODUCT(--(D18&gt;='Planung Abwesenheiten'!$A$4:$A$11),--(D18&lt;='Planung Abwesenheiten'!$B$4:$B$11))&gt;0, "Urlaub", ""))</f>
        <v/>
      </c>
      <c r="E19" s="172"/>
      <c r="F19" s="127" t="str" cm="1">
        <f t="array" ref="F19">IF(SUMPRODUCT(--(F18&gt;='Planung Abwesenheiten'!$A$23:$A$30),--(F18&lt;='Planung Abwesenheiten'!$B$23:$B$30))&gt;0, "Seminar",
 IF(SUMPRODUCT(--(F18&gt;='Planung Abwesenheiten'!$A$4:$A$11),--(F18&lt;='Planung Abwesenheiten'!$B$4:$B$11))&gt;0, "Urlaub", ""))</f>
        <v/>
      </c>
      <c r="G19" s="175"/>
      <c r="H19" s="127" t="str" cm="1">
        <f t="array" ref="H19">IF(SUMPRODUCT(--(H18&gt;='Planung Abwesenheiten'!$A$23:$A$30),--(H18&lt;='Planung Abwesenheiten'!$B$23:$B$30))&gt;0, "Seminar",
 IF(SUMPRODUCT(--(H18&gt;='Planung Abwesenheiten'!$A$4:$A$11),--(H18&lt;='Planung Abwesenheiten'!$B$4:$B$11))&gt;0, "Urlaub", ""))</f>
        <v/>
      </c>
      <c r="I19" s="127" t="str" cm="1">
        <f t="array" ref="I19">IF(SUMPRODUCT(--(I18&gt;='Planung Abwesenheiten'!$A$23:$A$30),--(I18&lt;='Planung Abwesenheiten'!$B$23:$B$30))&gt;0, "Seminar",
 IF(SUMPRODUCT(--(I18&gt;='Planung Abwesenheiten'!$A$4:$A$11),--(I18&lt;='Planung Abwesenheiten'!$B$4:$B$11))&gt;0, "Urlaub", ""))</f>
        <v/>
      </c>
      <c r="J19" s="215"/>
      <c r="L19" s="217"/>
      <c r="M19" s="127" t="str" cm="1">
        <f t="array" ref="M19">IF(SUMPRODUCT(--(M18&gt;='Planung Abwesenheiten'!$A$23:$A$30),--(M18&lt;='Planung Abwesenheiten'!$B$23:$B$30))&gt;0, "Seminar",
 IF(SUMPRODUCT(--(M18&gt;='Planung Abwesenheiten'!$A$4:$A$11),--(M18&lt;='Planung Abwesenheiten'!$B$4:$B$11))&gt;0, "Urlaub", ""))</f>
        <v/>
      </c>
      <c r="N19" s="127" t="str" cm="1">
        <f t="array" ref="N19">IF(SUMPRODUCT(--(N18&gt;='Planung Abwesenheiten'!$A$23:$A$30),--(N18&lt;='Planung Abwesenheiten'!$B$23:$B$30))&gt;0, "Seminar",
 IF(SUMPRODUCT(--(N18&gt;='Planung Abwesenheiten'!$A$4:$A$11),--(N18&lt;='Planung Abwesenheiten'!$B$4:$B$11))&gt;0, "Urlaub", ""))</f>
        <v/>
      </c>
      <c r="O19" s="127" t="s">
        <v>22</v>
      </c>
      <c r="P19" s="127" t="str" cm="1">
        <f t="array" ref="P19">IF(SUMPRODUCT(--(P18&gt;='Planung Abwesenheiten'!$A$23:$A$30),--(P18&lt;='Planung Abwesenheiten'!$B$23:$B$30))&gt;0, "Seminar",
 IF(SUMPRODUCT(--(P18&gt;='Planung Abwesenheiten'!$A$4:$A$11),--(P18&lt;='Planung Abwesenheiten'!$B$4:$B$11))&gt;0, "Urlaub", ""))</f>
        <v/>
      </c>
      <c r="Q19" s="127" t="s">
        <v>22</v>
      </c>
      <c r="R19" s="127" t="str" cm="1">
        <f t="array" ref="R19">IF(SUMPRODUCT(--(R18&gt;='Planung Abwesenheiten'!$A$23:$A$30),--(R18&lt;='Planung Abwesenheiten'!$B$23:$B$30))&gt;0, "Seminar",
 IF(SUMPRODUCT(--(R18&gt;='Planung Abwesenheiten'!$A$4:$A$11),--(R18&lt;='Planung Abwesenheiten'!$B$4:$B$11))&gt;0, "Urlaub", ""))</f>
        <v/>
      </c>
      <c r="S19" s="127" t="str" cm="1">
        <f t="array" ref="S19">IF(SUMPRODUCT(--(S18&gt;='Planung Abwesenheiten'!$A$23:$A$30),--(S18&lt;='Planung Abwesenheiten'!$B$23:$B$30))&gt;0, "Seminar",
 IF(SUMPRODUCT(--(S18&gt;='Planung Abwesenheiten'!$A$4:$A$11),--(S18&lt;='Planung Abwesenheiten'!$B$4:$B$11))&gt;0, "Urlaub", ""))</f>
        <v/>
      </c>
      <c r="T19" s="215"/>
    </row>
    <row r="20" spans="2:22" x14ac:dyDescent="0.25">
      <c r="B20" s="216">
        <f>B18+1</f>
        <v>7</v>
      </c>
      <c r="C20" s="63">
        <f>DATE(Statistik!$D$1,1,-2)-WEEKDAY(DATE(Statistik!$D$1,1,3))+B20*7</f>
        <v>46062</v>
      </c>
      <c r="D20" s="65">
        <f t="shared" si="12"/>
        <v>46063</v>
      </c>
      <c r="E20" s="65">
        <f t="shared" si="12"/>
        <v>46064</v>
      </c>
      <c r="F20" s="65">
        <f t="shared" si="12"/>
        <v>46065</v>
      </c>
      <c r="G20" s="65">
        <f t="shared" si="12"/>
        <v>46066</v>
      </c>
      <c r="H20" s="65">
        <f t="shared" si="12"/>
        <v>46067</v>
      </c>
      <c r="I20" s="65">
        <f t="shared" si="12"/>
        <v>46068</v>
      </c>
      <c r="J20" s="214">
        <f>COUNTIF(C21:I21,'pers. Daten'!$F$1)</f>
        <v>0</v>
      </c>
      <c r="L20" s="216">
        <f>L18+1</f>
        <v>33</v>
      </c>
      <c r="M20" s="166">
        <f>DATE(Statistik!$D$1,1,-2)-WEEKDAY(DATE(Statistik!$D$1,1,3))+L20*7</f>
        <v>46244</v>
      </c>
      <c r="N20" s="167">
        <f t="shared" si="13"/>
        <v>46245</v>
      </c>
      <c r="O20" s="167">
        <f t="shared" si="13"/>
        <v>46246</v>
      </c>
      <c r="P20" s="167">
        <f t="shared" si="13"/>
        <v>46247</v>
      </c>
      <c r="Q20" s="167">
        <f t="shared" si="13"/>
        <v>46248</v>
      </c>
      <c r="R20" s="167">
        <f t="shared" si="13"/>
        <v>46249</v>
      </c>
      <c r="S20" s="167">
        <f t="shared" si="13"/>
        <v>46250</v>
      </c>
      <c r="T20" s="214">
        <f>COUNTIF(M21:S21,'pers. Daten'!$F$1)</f>
        <v>2</v>
      </c>
    </row>
    <row r="21" spans="2:22" ht="15.75" thickBot="1" x14ac:dyDescent="0.3">
      <c r="B21" s="217"/>
      <c r="C21" s="127" t="str" cm="1">
        <f t="array" ref="C21">IF(SUMPRODUCT(--(C20&gt;='Planung Abwesenheiten'!$A$23:$A$30),--(C20&lt;='Planung Abwesenheiten'!$B$23:$B$30))&gt;0, "Seminar",
 IF(SUMPRODUCT(--(C20&gt;='Planung Abwesenheiten'!$A$4:$A$11),--(C20&lt;='Planung Abwesenheiten'!$B$4:$B$11))&gt;0, "Urlaub", ""))</f>
        <v/>
      </c>
      <c r="D21" s="127" t="str" cm="1">
        <f t="array" ref="D21">IF(SUMPRODUCT(--(D20&gt;='Planung Abwesenheiten'!$A$23:$A$30),--(D20&lt;='Planung Abwesenheiten'!$B$23:$B$30))&gt;0, "Seminar",
 IF(SUMPRODUCT(--(D20&gt;='Planung Abwesenheiten'!$A$4:$A$11),--(D20&lt;='Planung Abwesenheiten'!$B$4:$B$11))&gt;0, "Urlaub", ""))</f>
        <v/>
      </c>
      <c r="E21" s="172"/>
      <c r="F21" s="174"/>
      <c r="G21" s="172"/>
      <c r="H21" s="127" t="str" cm="1">
        <f t="array" ref="H21">IF(SUMPRODUCT(--(H20&gt;='Planung Abwesenheiten'!$A$23:$A$30),--(H20&lt;='Planung Abwesenheiten'!$B$23:$B$30))&gt;0, "Seminar",
 IF(SUMPRODUCT(--(H20&gt;='Planung Abwesenheiten'!$A$4:$A$11),--(H20&lt;='Planung Abwesenheiten'!$B$4:$B$11))&gt;0, "Urlaub", ""))</f>
        <v/>
      </c>
      <c r="I21" s="127" t="str" cm="1">
        <f t="array" ref="I21">IF(SUMPRODUCT(--(I20&gt;='Planung Abwesenheiten'!$A$23:$A$30),--(I20&lt;='Planung Abwesenheiten'!$B$23:$B$30))&gt;0, "Seminar",
 IF(SUMPRODUCT(--(I20&gt;='Planung Abwesenheiten'!$A$4:$A$11),--(I20&lt;='Planung Abwesenheiten'!$B$4:$B$11))&gt;0, "Urlaub", ""))</f>
        <v/>
      </c>
      <c r="J21" s="215"/>
      <c r="L21" s="217"/>
      <c r="M21" s="127"/>
      <c r="N21" s="127" t="s">
        <v>22</v>
      </c>
      <c r="O21" s="127"/>
      <c r="P21" s="127" t="s">
        <v>22</v>
      </c>
      <c r="Q21" s="127"/>
      <c r="R21" s="127"/>
      <c r="S21" s="127"/>
      <c r="T21" s="215"/>
    </row>
    <row r="22" spans="2:22" x14ac:dyDescent="0.25">
      <c r="B22" s="216">
        <f>B20+1</f>
        <v>8</v>
      </c>
      <c r="C22" s="63">
        <f>DATE(Statistik!$D$1,1,-2)-WEEKDAY(DATE(Statistik!$D$1,1,3))+B22*7</f>
        <v>46069</v>
      </c>
      <c r="D22" s="65">
        <f t="shared" si="12"/>
        <v>46070</v>
      </c>
      <c r="E22" s="65">
        <f t="shared" si="12"/>
        <v>46071</v>
      </c>
      <c r="F22" s="65">
        <f t="shared" si="12"/>
        <v>46072</v>
      </c>
      <c r="G22" s="65">
        <f t="shared" si="12"/>
        <v>46073</v>
      </c>
      <c r="H22" s="65">
        <f t="shared" si="12"/>
        <v>46074</v>
      </c>
      <c r="I22" s="65">
        <f t="shared" si="12"/>
        <v>46075</v>
      </c>
      <c r="J22" s="214">
        <f>COUNTIF(C23:I23,'pers. Daten'!$F$1)</f>
        <v>0</v>
      </c>
      <c r="L22" s="216">
        <f>L20+1</f>
        <v>34</v>
      </c>
      <c r="M22" s="166">
        <f>DATE(Statistik!$D$1,1,-2)-WEEKDAY(DATE(Statistik!$D$1,1,3))+L22*7</f>
        <v>46251</v>
      </c>
      <c r="N22" s="167">
        <f t="shared" si="13"/>
        <v>46252</v>
      </c>
      <c r="O22" s="167">
        <f t="shared" si="13"/>
        <v>46253</v>
      </c>
      <c r="P22" s="167">
        <f t="shared" si="13"/>
        <v>46254</v>
      </c>
      <c r="Q22" s="167">
        <f t="shared" si="13"/>
        <v>46255</v>
      </c>
      <c r="R22" s="167">
        <f t="shared" si="13"/>
        <v>46256</v>
      </c>
      <c r="S22" s="167">
        <f t="shared" si="13"/>
        <v>46257</v>
      </c>
      <c r="T22" s="214">
        <f>COUNTIF(M23:S23,'pers. Daten'!$F$1)</f>
        <v>0</v>
      </c>
    </row>
    <row r="23" spans="2:22" ht="15.75" thickBot="1" x14ac:dyDescent="0.3">
      <c r="B23" s="217"/>
      <c r="C23" s="127" t="str" cm="1">
        <f t="array" ref="C23">IF(SUMPRODUCT(--(C22&gt;='Planung Abwesenheiten'!$A$23:$A$30),--(C22&lt;='Planung Abwesenheiten'!$B$23:$B$30))&gt;0, "Seminar",
 IF(SUMPRODUCT(--(C22&gt;='Planung Abwesenheiten'!$A$4:$A$11),--(C22&lt;='Planung Abwesenheiten'!$B$4:$B$11))&gt;0, "Urlaub", ""))</f>
        <v/>
      </c>
      <c r="D23" s="174"/>
      <c r="E23" s="127" t="str" cm="1">
        <f t="array" ref="E23">IF(SUMPRODUCT(--(E22&gt;='Planung Abwesenheiten'!$A$23:$A$30),--(E22&lt;='Planung Abwesenheiten'!$B$23:$B$30))&gt;0, "Seminar",
 IF(SUMPRODUCT(--(E22&gt;='Planung Abwesenheiten'!$A$4:$A$11),--(E22&lt;='Planung Abwesenheiten'!$B$4:$B$11))&gt;0, "Urlaub", ""))</f>
        <v/>
      </c>
      <c r="F23" s="174"/>
      <c r="G23" s="172"/>
      <c r="H23" s="127" t="str" cm="1">
        <f t="array" ref="H23">IF(SUMPRODUCT(--(H22&gt;='Planung Abwesenheiten'!$A$23:$A$30),--(H22&lt;='Planung Abwesenheiten'!$B$23:$B$30))&gt;0, "Seminar",
 IF(SUMPRODUCT(--(H22&gt;='Planung Abwesenheiten'!$A$4:$A$11),--(H22&lt;='Planung Abwesenheiten'!$B$4:$B$11))&gt;0, "Urlaub", ""))</f>
        <v/>
      </c>
      <c r="I23" s="127" t="str" cm="1">
        <f t="array" ref="I23">IF(SUMPRODUCT(--(I22&gt;='Planung Abwesenheiten'!$A$23:$A$30),--(I22&lt;='Planung Abwesenheiten'!$B$23:$B$30))&gt;0, "Seminar",
 IF(SUMPRODUCT(--(I22&gt;='Planung Abwesenheiten'!$A$4:$A$11),--(I22&lt;='Planung Abwesenheiten'!$B$4:$B$11))&gt;0, "Urlaub", ""))</f>
        <v/>
      </c>
      <c r="J23" s="215"/>
      <c r="L23" s="217"/>
      <c r="M23" s="127" t="str" cm="1">
        <f t="array" ref="M23">IF(SUMPRODUCT(--(M22&gt;='Planung Abwesenheiten'!$A$23:$A$30),--(M22&lt;='Planung Abwesenheiten'!$B$23:$B$30))&gt;0, "Seminar",
 IF(SUMPRODUCT(--(M22&gt;='Planung Abwesenheiten'!$A$4:$A$11),--(M22&lt;='Planung Abwesenheiten'!$B$4:$B$11))&gt;0, "Urlaub", ""))</f>
        <v>Urlaub</v>
      </c>
      <c r="N23" s="127" t="str" cm="1">
        <f t="array" ref="N23">IF(SUMPRODUCT(--(N22&gt;='Planung Abwesenheiten'!$A$23:$A$30),--(N22&lt;='Planung Abwesenheiten'!$B$23:$B$30))&gt;0, "Seminar",
 IF(SUMPRODUCT(--(N22&gt;='Planung Abwesenheiten'!$A$4:$A$11),--(N22&lt;='Planung Abwesenheiten'!$B$4:$B$11))&gt;0, "Urlaub", ""))</f>
        <v>Urlaub</v>
      </c>
      <c r="O23" s="127" t="str" cm="1">
        <f t="array" ref="O23">IF(SUMPRODUCT(--(O22&gt;='Planung Abwesenheiten'!$A$23:$A$30),--(O22&lt;='Planung Abwesenheiten'!$B$23:$B$30))&gt;0, "Seminar",
 IF(SUMPRODUCT(--(O22&gt;='Planung Abwesenheiten'!$A$4:$A$11),--(O22&lt;='Planung Abwesenheiten'!$B$4:$B$11))&gt;0, "Urlaub", ""))</f>
        <v>Urlaub</v>
      </c>
      <c r="P23" s="127" t="str" cm="1">
        <f t="array" ref="P23">IF(SUMPRODUCT(--(P22&gt;='Planung Abwesenheiten'!$A$23:$A$30),--(P22&lt;='Planung Abwesenheiten'!$B$23:$B$30))&gt;0, "Seminar",
 IF(SUMPRODUCT(--(P22&gt;='Planung Abwesenheiten'!$A$4:$A$11),--(P22&lt;='Planung Abwesenheiten'!$B$4:$B$11))&gt;0, "Urlaub", ""))</f>
        <v>Urlaub</v>
      </c>
      <c r="Q23" s="127" t="str" cm="1">
        <f t="array" ref="Q23">IF(SUMPRODUCT(--(Q22&gt;='Planung Abwesenheiten'!$A$23:$A$30),--(Q22&lt;='Planung Abwesenheiten'!$B$23:$B$30))&gt;0, "Seminar",
 IF(SUMPRODUCT(--(Q22&gt;='Planung Abwesenheiten'!$A$4:$A$11),--(Q22&lt;='Planung Abwesenheiten'!$B$4:$B$11))&gt;0, "Urlaub", ""))</f>
        <v>Urlaub</v>
      </c>
      <c r="R23" s="127" t="str" cm="1">
        <f t="array" ref="R23">IF(SUMPRODUCT(--(R22&gt;='Planung Abwesenheiten'!$A$23:$A$30),--(R22&lt;='Planung Abwesenheiten'!$B$23:$B$30))&gt;0, "Seminar",
 IF(SUMPRODUCT(--(R22&gt;='Planung Abwesenheiten'!$A$4:$A$11),--(R22&lt;='Planung Abwesenheiten'!$B$4:$B$11))&gt;0, "Urlaub", ""))</f>
        <v/>
      </c>
      <c r="S23" s="127" t="str" cm="1">
        <f t="array" ref="S23">IF(SUMPRODUCT(--(S22&gt;='Planung Abwesenheiten'!$A$23:$A$30),--(S22&lt;='Planung Abwesenheiten'!$B$23:$B$30))&gt;0, "Seminar",
 IF(SUMPRODUCT(--(S22&gt;='Planung Abwesenheiten'!$A$4:$A$11),--(S22&lt;='Planung Abwesenheiten'!$B$4:$B$11))&gt;0, "Urlaub", ""))</f>
        <v/>
      </c>
      <c r="T23" s="215"/>
    </row>
    <row r="24" spans="2:22" x14ac:dyDescent="0.25">
      <c r="B24" s="216">
        <f>B22+1</f>
        <v>9</v>
      </c>
      <c r="C24" s="63">
        <f>DATE(Statistik!$D$1,1,-2)-WEEKDAY(DATE(Statistik!$D$1,1,3))+B24*7</f>
        <v>46076</v>
      </c>
      <c r="D24" s="65">
        <f t="shared" si="12"/>
        <v>46077</v>
      </c>
      <c r="E24" s="65">
        <f t="shared" si="12"/>
        <v>46078</v>
      </c>
      <c r="F24" s="65">
        <f t="shared" si="12"/>
        <v>46079</v>
      </c>
      <c r="G24" s="65">
        <f t="shared" si="12"/>
        <v>46080</v>
      </c>
      <c r="H24" s="65">
        <f t="shared" si="12"/>
        <v>46081</v>
      </c>
      <c r="I24" s="65">
        <f t="shared" si="12"/>
        <v>46082</v>
      </c>
      <c r="J24" s="214">
        <f>COUNTIF(C25:I25,'pers. Daten'!$F$1)</f>
        <v>0</v>
      </c>
      <c r="L24" s="216">
        <f>L22+1</f>
        <v>35</v>
      </c>
      <c r="M24" s="166">
        <f>DATE(Statistik!$D$1,1,-2)-WEEKDAY(DATE(Statistik!$D$1,1,3))+L24*7</f>
        <v>46258</v>
      </c>
      <c r="N24" s="167">
        <f t="shared" si="13"/>
        <v>46259</v>
      </c>
      <c r="O24" s="167">
        <f t="shared" si="13"/>
        <v>46260</v>
      </c>
      <c r="P24" s="167">
        <f t="shared" si="13"/>
        <v>46261</v>
      </c>
      <c r="Q24" s="167">
        <f t="shared" si="13"/>
        <v>46262</v>
      </c>
      <c r="R24" s="167">
        <f t="shared" si="13"/>
        <v>46263</v>
      </c>
      <c r="S24" s="167">
        <f t="shared" si="13"/>
        <v>46264</v>
      </c>
      <c r="T24" s="214">
        <f>COUNTIF(M25:S25,'pers. Daten'!$F$1)</f>
        <v>2</v>
      </c>
    </row>
    <row r="25" spans="2:22" ht="15.75" thickBot="1" x14ac:dyDescent="0.3">
      <c r="B25" s="217"/>
      <c r="C25" s="127" t="str" cm="1">
        <f t="array" ref="C25">IF(SUMPRODUCT(--(C24&gt;='Planung Abwesenheiten'!$A$23:$A$30),--(C24&lt;='Planung Abwesenheiten'!$B$23:$B$30))&gt;0, "Seminar",
 IF(SUMPRODUCT(--(C24&gt;='Planung Abwesenheiten'!$A$4:$A$11),--(C24&lt;='Planung Abwesenheiten'!$B$4:$B$11))&gt;0, "Urlaub", ""))</f>
        <v/>
      </c>
      <c r="D25" s="174"/>
      <c r="E25" s="172"/>
      <c r="F25" s="127" t="str" cm="1">
        <f t="array" ref="F25">IF(SUMPRODUCT(--(F24&gt;='Planung Abwesenheiten'!$A$23:$A$30),--(F24&lt;='Planung Abwesenheiten'!$B$23:$B$30))&gt;0, "Seminar",
 IF(SUMPRODUCT(--(F24&gt;='Planung Abwesenheiten'!$A$4:$A$11),--(F24&lt;='Planung Abwesenheiten'!$B$4:$B$11))&gt;0, "Urlaub", ""))</f>
        <v/>
      </c>
      <c r="G25" s="172"/>
      <c r="H25" s="127" t="str" cm="1">
        <f t="array" ref="H25">IF(SUMPRODUCT(--(H24&gt;='Planung Abwesenheiten'!$A$23:$A$30),--(H24&lt;='Planung Abwesenheiten'!$B$23:$B$30))&gt;0, "Seminar",
 IF(SUMPRODUCT(--(H24&gt;='Planung Abwesenheiten'!$A$4:$A$11),--(H24&lt;='Planung Abwesenheiten'!$B$4:$B$11))&gt;0, "Urlaub", ""))</f>
        <v/>
      </c>
      <c r="I25" s="127" t="str" cm="1">
        <f t="array" ref="I25">IF(SUMPRODUCT(--(I24&gt;='Planung Abwesenheiten'!$A$23:$A$30),--(I24&lt;='Planung Abwesenheiten'!$B$23:$B$30))&gt;0, "Seminar",
 IF(SUMPRODUCT(--(I24&gt;='Planung Abwesenheiten'!$A$4:$A$11),--(I24&lt;='Planung Abwesenheiten'!$B$4:$B$11))&gt;0, "Urlaub", ""))</f>
        <v/>
      </c>
      <c r="J25" s="215"/>
      <c r="L25" s="217"/>
      <c r="M25" s="127" t="str" cm="1">
        <f t="array" ref="M25">IF(SUMPRODUCT(--(M24&gt;='Planung Abwesenheiten'!$A$23:$A$30),--(M24&lt;='Planung Abwesenheiten'!$B$23:$B$30))&gt;0, "Seminar",
 IF(SUMPRODUCT(--(M24&gt;='Planung Abwesenheiten'!$A$4:$A$11),--(M24&lt;='Planung Abwesenheiten'!$B$4:$B$11))&gt;0, "Urlaub", ""))</f>
        <v/>
      </c>
      <c r="N25" s="127" t="s">
        <v>22</v>
      </c>
      <c r="O25" s="127" t="str" cm="1">
        <f t="array" ref="O25">IF(SUMPRODUCT(--(O24&gt;='Planung Abwesenheiten'!$A$23:$A$30),--(O24&lt;='Planung Abwesenheiten'!$B$23:$B$30))&gt;0, "Seminar",
 IF(SUMPRODUCT(--(O24&gt;='Planung Abwesenheiten'!$A$4:$A$11),--(O24&lt;='Planung Abwesenheiten'!$B$4:$B$11))&gt;0, "Urlaub", ""))</f>
        <v/>
      </c>
      <c r="P25" s="127" t="s">
        <v>22</v>
      </c>
      <c r="Q25" s="127" t="str" cm="1">
        <f t="array" ref="Q25">IF(SUMPRODUCT(--(Q24&gt;='Planung Abwesenheiten'!$A$23:$A$30),--(Q24&lt;='Planung Abwesenheiten'!$B$23:$B$30))&gt;0, "Seminar",
 IF(SUMPRODUCT(--(Q24&gt;='Planung Abwesenheiten'!$A$4:$A$11),--(Q24&lt;='Planung Abwesenheiten'!$B$4:$B$11))&gt;0, "Urlaub", ""))</f>
        <v/>
      </c>
      <c r="R25" s="127" t="str" cm="1">
        <f t="array" ref="R25">IF(SUMPRODUCT(--(R24&gt;='Planung Abwesenheiten'!$A$23:$A$30),--(R24&lt;='Planung Abwesenheiten'!$B$23:$B$30))&gt;0, "Seminar",
 IF(SUMPRODUCT(--(R24&gt;='Planung Abwesenheiten'!$A$4:$A$11),--(R24&lt;='Planung Abwesenheiten'!$B$4:$B$11))&gt;0, "Urlaub", ""))</f>
        <v/>
      </c>
      <c r="S25" s="127" t="str" cm="1">
        <f t="array" ref="S25">IF(SUMPRODUCT(--(S24&gt;='Planung Abwesenheiten'!$A$23:$A$30),--(S24&lt;='Planung Abwesenheiten'!$B$23:$B$30))&gt;0, "Seminar",
 IF(SUMPRODUCT(--(S24&gt;='Planung Abwesenheiten'!$A$4:$A$11),--(S24&lt;='Planung Abwesenheiten'!$B$4:$B$11))&gt;0, "Urlaub", ""))</f>
        <v/>
      </c>
      <c r="T25" s="215"/>
    </row>
    <row r="26" spans="2:22" x14ac:dyDescent="0.25">
      <c r="J26" s="54">
        <f>SUM(J16:J24)</f>
        <v>0</v>
      </c>
      <c r="L26" s="216">
        <f>L24+1</f>
        <v>36</v>
      </c>
      <c r="M26" s="166">
        <f>DATE(Statistik!$D$1,1,-2)-WEEKDAY(DATE(Statistik!$D$1,1,3))+L26*7</f>
        <v>46265</v>
      </c>
      <c r="N26" s="167">
        <f t="shared" ref="N26:S26" si="14">N24+7</f>
        <v>46266</v>
      </c>
      <c r="O26" s="65">
        <f t="shared" si="14"/>
        <v>46267</v>
      </c>
      <c r="P26" s="65">
        <f t="shared" si="14"/>
        <v>46268</v>
      </c>
      <c r="Q26" s="65">
        <f t="shared" si="14"/>
        <v>46269</v>
      </c>
      <c r="R26" s="65">
        <f t="shared" si="14"/>
        <v>46270</v>
      </c>
      <c r="S26" s="65">
        <f t="shared" si="14"/>
        <v>46271</v>
      </c>
      <c r="T26" s="214">
        <f>COUNTIF(M27:S27,'pers. Daten'!$F$1)</f>
        <v>0</v>
      </c>
    </row>
    <row r="27" spans="2:22" ht="15.75" thickBot="1" x14ac:dyDescent="0.3">
      <c r="B27" t="s">
        <v>69</v>
      </c>
      <c r="L27" s="217"/>
      <c r="M27" s="127" t="str" cm="1">
        <f t="array" ref="M27">IF(SUMPRODUCT(--(M26&gt;='Planung Abwesenheiten'!$A$23:$A$30),--(M26&lt;='Planung Abwesenheiten'!$B$23:$B$30))&gt;0, "Seminar",
 IF(SUMPRODUCT(--(M26&gt;='Planung Abwesenheiten'!$A$4:$A$11),--(M26&lt;='Planung Abwesenheiten'!$B$4:$B$11))&gt;0, "Urlaub", ""))</f>
        <v/>
      </c>
      <c r="N27" s="210" t="str" cm="1">
        <f t="array" ref="N27">IF(SUMPRODUCT(--(N26&gt;='Planung Abwesenheiten'!$A$23:$A$30),--(N26&lt;='Planung Abwesenheiten'!$B$23:$B$30))&gt;0, "Seminar",
 IF(SUMPRODUCT(--(N26&gt;='Planung Abwesenheiten'!$A$4:$A$11),--(N26&lt;='Planung Abwesenheiten'!$B$4:$B$11))&gt;0, "Urlaub", ""))</f>
        <v/>
      </c>
      <c r="O27" s="210" t="str" cm="1">
        <f t="array" ref="O27">IF(SUMPRODUCT(--(O26&gt;='Planung Abwesenheiten'!$A$23:$A$30),--(O26&lt;='Planung Abwesenheiten'!$B$23:$B$30))&gt;0, "Seminar",
 IF(SUMPRODUCT(--(O26&gt;='Planung Abwesenheiten'!$A$4:$A$11),--(O26&lt;='Planung Abwesenheiten'!$B$4:$B$11))&gt;0, "Urlaub", ""))</f>
        <v/>
      </c>
      <c r="P27" s="210" t="str" cm="1">
        <f t="array" ref="P27">IF(SUMPRODUCT(--(P26&gt;='Planung Abwesenheiten'!$A$23:$A$30),--(P26&lt;='Planung Abwesenheiten'!$B$23:$B$30))&gt;0, "Seminar",
 IF(SUMPRODUCT(--(P26&gt;='Planung Abwesenheiten'!$A$4:$A$11),--(P26&lt;='Planung Abwesenheiten'!$B$4:$B$11))&gt;0, "Urlaub", ""))</f>
        <v/>
      </c>
      <c r="Q27" s="210" t="str" cm="1">
        <f t="array" ref="Q27">IF(SUMPRODUCT(--(Q26&gt;='Planung Abwesenheiten'!$A$23:$A$30),--(Q26&lt;='Planung Abwesenheiten'!$B$23:$B$30))&gt;0, "Seminar",
 IF(SUMPRODUCT(--(Q26&gt;='Planung Abwesenheiten'!$A$4:$A$11),--(Q26&lt;='Planung Abwesenheiten'!$B$4:$B$11))&gt;0, "Urlaub", ""))</f>
        <v/>
      </c>
      <c r="R27" s="210" t="str" cm="1">
        <f t="array" ref="R27">IF(SUMPRODUCT(--(R26&gt;='Planung Abwesenheiten'!$A$23:$A$30),--(R26&lt;='Planung Abwesenheiten'!$B$23:$B$30))&gt;0, "Seminar",
 IF(SUMPRODUCT(--(R26&gt;='Planung Abwesenheiten'!$A$4:$A$11),--(R26&lt;='Planung Abwesenheiten'!$B$4:$B$11))&gt;0, "Urlaub", ""))</f>
        <v/>
      </c>
      <c r="S27" s="210" t="str" cm="1">
        <f t="array" ref="S27">IF(SUMPRODUCT(--(S26&gt;='Planung Abwesenheiten'!$A$23:$A$30),--(S26&lt;='Planung Abwesenheiten'!$B$23:$B$30))&gt;0, "Seminar",
 IF(SUMPRODUCT(--(S26&gt;='Planung Abwesenheiten'!$A$4:$A$11),--(S26&lt;='Planung Abwesenheiten'!$B$4:$B$11))&gt;0, "Urlaub", ""))</f>
        <v/>
      </c>
      <c r="T27" s="215"/>
    </row>
    <row r="28" spans="2:22" ht="15.75" thickBot="1" x14ac:dyDescent="0.3">
      <c r="B28" s="53" t="s">
        <v>40</v>
      </c>
      <c r="C28" s="147" t="s">
        <v>60</v>
      </c>
      <c r="D28" s="147" t="s">
        <v>61</v>
      </c>
      <c r="E28" s="147" t="s">
        <v>62</v>
      </c>
      <c r="F28" s="147" t="s">
        <v>63</v>
      </c>
      <c r="G28" s="147" t="s">
        <v>64</v>
      </c>
      <c r="H28" s="147" t="s">
        <v>65</v>
      </c>
      <c r="I28" s="147" t="s">
        <v>66</v>
      </c>
      <c r="J28" s="53" t="s">
        <v>32</v>
      </c>
      <c r="T28" s="54">
        <f>SUM(T16:T24)</f>
        <v>6</v>
      </c>
      <c r="V28" s="126"/>
    </row>
    <row r="29" spans="2:22" x14ac:dyDescent="0.25">
      <c r="B29" s="216">
        <v>9</v>
      </c>
      <c r="C29" s="63">
        <f>DATE(Statistik!$D$1,1,-2)-WEEKDAY(DATE(Statistik!$D$1,1,3))+B29*7</f>
        <v>46076</v>
      </c>
      <c r="D29" s="63">
        <f t="shared" ref="D29:I29" si="15">C29+1</f>
        <v>46077</v>
      </c>
      <c r="E29" s="63">
        <f t="shared" si="15"/>
        <v>46078</v>
      </c>
      <c r="F29" s="63">
        <f t="shared" si="15"/>
        <v>46079</v>
      </c>
      <c r="G29" s="63">
        <f t="shared" si="15"/>
        <v>46080</v>
      </c>
      <c r="H29" s="63">
        <f t="shared" si="15"/>
        <v>46081</v>
      </c>
      <c r="I29" s="63">
        <f t="shared" si="15"/>
        <v>46082</v>
      </c>
      <c r="J29" s="214">
        <f>COUNTIF(C30:I30,'pers. Daten'!$F$1)</f>
        <v>0</v>
      </c>
      <c r="V29" s="36"/>
    </row>
    <row r="30" spans="2:22" ht="15.75" thickBot="1" x14ac:dyDescent="0.3">
      <c r="B30" s="217"/>
      <c r="C30" s="127" t="str" cm="1">
        <f t="array" ref="C30">IF(SUMPRODUCT(--(C29&gt;='Planung Abwesenheiten'!$A$23:$A$30),--(C29&lt;='Planung Abwesenheiten'!$B$23:$B$30))&gt;0, "Seminar",
 IF(SUMPRODUCT(--(C29&gt;='Planung Abwesenheiten'!$A$4:$A$11),--(C29&lt;='Planung Abwesenheiten'!$B$4:$B$11))&gt;0, "Urlaub", ""))</f>
        <v/>
      </c>
      <c r="D30" s="127" t="str" cm="1">
        <f t="array" ref="D30">IF(SUMPRODUCT(--(D29&gt;='Planung Abwesenheiten'!$A$23:$A$30),--(D29&lt;='Planung Abwesenheiten'!$B$23:$B$30))&gt;0, "Seminar",
 IF(SUMPRODUCT(--(D29&gt;='Planung Abwesenheiten'!$A$4:$A$11),--(D29&lt;='Planung Abwesenheiten'!$B$4:$B$11))&gt;0, "Urlaub", ""))</f>
        <v/>
      </c>
      <c r="E30" s="127" t="str" cm="1">
        <f t="array" ref="E30">IF(SUMPRODUCT(--(E29&gt;='Planung Abwesenheiten'!$A$23:$A$30),--(E29&lt;='Planung Abwesenheiten'!$B$23:$B$30))&gt;0, "Seminar",
 IF(SUMPRODUCT(--(E29&gt;='Planung Abwesenheiten'!$A$4:$A$11),--(E29&lt;='Planung Abwesenheiten'!$B$4:$B$11))&gt;0, "Urlaub", ""))</f>
        <v/>
      </c>
      <c r="F30" s="127" t="str" cm="1">
        <f t="array" ref="F30">IF(SUMPRODUCT(--(F29&gt;='Planung Abwesenheiten'!$A$23:$A$30),--(F29&lt;='Planung Abwesenheiten'!$B$23:$B$30))&gt;0, "Seminar",
 IF(SUMPRODUCT(--(F29&gt;='Planung Abwesenheiten'!$A$4:$A$11),--(F29&lt;='Planung Abwesenheiten'!$B$4:$B$11))&gt;0, "Urlaub", ""))</f>
        <v/>
      </c>
      <c r="G30" s="127" t="str" cm="1">
        <f t="array" ref="G30">IF(SUMPRODUCT(--(G29&gt;='Planung Abwesenheiten'!$A$23:$A$30),--(G29&lt;='Planung Abwesenheiten'!$B$23:$B$30))&gt;0, "Seminar",
 IF(SUMPRODUCT(--(G29&gt;='Planung Abwesenheiten'!$A$4:$A$11),--(G29&lt;='Planung Abwesenheiten'!$B$4:$B$11))&gt;0, "Urlaub", ""))</f>
        <v/>
      </c>
      <c r="H30" s="127" t="str" cm="1">
        <f t="array" ref="H30">IF(SUMPRODUCT(--(H29&gt;='Planung Abwesenheiten'!$A$23:$A$30),--(H29&lt;='Planung Abwesenheiten'!$B$23:$B$30))&gt;0, "Seminar",
 IF(SUMPRODUCT(--(H29&gt;='Planung Abwesenheiten'!$A$4:$A$11),--(H29&lt;='Planung Abwesenheiten'!$B$4:$B$11))&gt;0, "Urlaub", ""))</f>
        <v/>
      </c>
      <c r="I30" s="127" t="str" cm="1">
        <f t="array" ref="I30">IF(SUMPRODUCT(--(I29&gt;='Planung Abwesenheiten'!$A$23:$A$30),--(I29&lt;='Planung Abwesenheiten'!$B$23:$B$30))&gt;0, "Seminar",
 IF(SUMPRODUCT(--(I29&gt;='Planung Abwesenheiten'!$A$4:$A$11),--(I29&lt;='Planung Abwesenheiten'!$B$4:$B$11))&gt;0, "Urlaub", ""))</f>
        <v/>
      </c>
      <c r="J30" s="215"/>
    </row>
    <row r="31" spans="2:22" x14ac:dyDescent="0.25">
      <c r="B31" s="216">
        <f>B29+1</f>
        <v>10</v>
      </c>
      <c r="C31" s="63">
        <f>DATE(Statistik!$D$1,1,-2)-WEEKDAY(DATE(Statistik!$D$1,1,3))+B31*7</f>
        <v>46083</v>
      </c>
      <c r="D31" s="65">
        <f t="shared" ref="D31:I37" si="16">D29+7</f>
        <v>46084</v>
      </c>
      <c r="E31" s="65">
        <f t="shared" si="16"/>
        <v>46085</v>
      </c>
      <c r="F31" s="65">
        <f t="shared" si="16"/>
        <v>46086</v>
      </c>
      <c r="G31" s="65">
        <f t="shared" si="16"/>
        <v>46087</v>
      </c>
      <c r="H31" s="65">
        <f t="shared" si="16"/>
        <v>46088</v>
      </c>
      <c r="I31" s="65">
        <f t="shared" si="16"/>
        <v>46089</v>
      </c>
      <c r="J31" s="214">
        <f>COUNTIF(C32:I32,'pers. Daten'!$F$1)</f>
        <v>0</v>
      </c>
      <c r="L31" t="s">
        <v>75</v>
      </c>
    </row>
    <row r="32" spans="2:22" ht="15.75" thickBot="1" x14ac:dyDescent="0.3">
      <c r="B32" s="217"/>
      <c r="C32" s="127" t="str" cm="1">
        <f t="array" ref="C32">IF(SUMPRODUCT(--(C31&gt;='Planung Abwesenheiten'!$A$23:$A$30),--(C31&lt;='Planung Abwesenheiten'!$B$23:$B$30))&gt;0, "Seminar",
 IF(SUMPRODUCT(--(C31&gt;='Planung Abwesenheiten'!$A$4:$A$11),--(C31&lt;='Planung Abwesenheiten'!$B$4:$B$11))&gt;0, "Urlaub", ""))</f>
        <v/>
      </c>
      <c r="D32" s="127" t="str" cm="1">
        <f t="array" ref="D32">IF(SUMPRODUCT(--(D31&gt;='Planung Abwesenheiten'!$A$23:$A$30),--(D31&lt;='Planung Abwesenheiten'!$B$23:$B$30))&gt;0, "Seminar",
 IF(SUMPRODUCT(--(D31&gt;='Planung Abwesenheiten'!$A$4:$A$11),--(D31&lt;='Planung Abwesenheiten'!$B$4:$B$11))&gt;0, "Urlaub", ""))</f>
        <v/>
      </c>
      <c r="E32" s="127" t="str" cm="1">
        <f t="array" ref="E32">IF(SUMPRODUCT(--(E31&gt;='Planung Abwesenheiten'!$A$23:$A$30),--(E31&lt;='Planung Abwesenheiten'!$B$23:$B$30))&gt;0, "Seminar",
 IF(SUMPRODUCT(--(E31&gt;='Planung Abwesenheiten'!$A$4:$A$11),--(E31&lt;='Planung Abwesenheiten'!$B$4:$B$11))&gt;0, "Urlaub", ""))</f>
        <v/>
      </c>
      <c r="F32" s="127" t="str" cm="1">
        <f t="array" ref="F32">IF(SUMPRODUCT(--(F31&gt;='Planung Abwesenheiten'!$A$23:$A$30),--(F31&lt;='Planung Abwesenheiten'!$B$23:$B$30))&gt;0, "Seminar",
 IF(SUMPRODUCT(--(F31&gt;='Planung Abwesenheiten'!$A$4:$A$11),--(F31&lt;='Planung Abwesenheiten'!$B$4:$B$11))&gt;0, "Urlaub", ""))</f>
        <v/>
      </c>
      <c r="G32" s="127" t="str" cm="1">
        <f t="array" ref="G32">IF(SUMPRODUCT(--(G31&gt;='Planung Abwesenheiten'!$A$23:$A$30),--(G31&lt;='Planung Abwesenheiten'!$B$23:$B$30))&gt;0, "Seminar",
 IF(SUMPRODUCT(--(G31&gt;='Planung Abwesenheiten'!$A$4:$A$11),--(G31&lt;='Planung Abwesenheiten'!$B$4:$B$11))&gt;0, "Urlaub", ""))</f>
        <v/>
      </c>
      <c r="H32" s="127" t="str" cm="1">
        <f t="array" ref="H32">IF(SUMPRODUCT(--(H31&gt;='Planung Abwesenheiten'!$A$23:$A$30),--(H31&lt;='Planung Abwesenheiten'!$B$23:$B$30))&gt;0, "Seminar",
 IF(SUMPRODUCT(--(H31&gt;='Planung Abwesenheiten'!$A$4:$A$11),--(H31&lt;='Planung Abwesenheiten'!$B$4:$B$11))&gt;0, "Urlaub", ""))</f>
        <v/>
      </c>
      <c r="I32" s="127" t="str" cm="1">
        <f t="array" ref="I32">IF(SUMPRODUCT(--(I31&gt;='Planung Abwesenheiten'!$A$23:$A$30),--(I31&lt;='Planung Abwesenheiten'!$B$23:$B$30))&gt;0, "Seminar",
 IF(SUMPRODUCT(--(I31&gt;='Planung Abwesenheiten'!$A$4:$A$11),--(I31&lt;='Planung Abwesenheiten'!$B$4:$B$11))&gt;0, "Urlaub", ""))</f>
        <v/>
      </c>
      <c r="J32" s="215"/>
      <c r="L32" s="53" t="s">
        <v>40</v>
      </c>
      <c r="M32" s="147" t="s">
        <v>60</v>
      </c>
      <c r="N32" s="147" t="s">
        <v>61</v>
      </c>
      <c r="O32" s="147" t="s">
        <v>62</v>
      </c>
      <c r="P32" s="147" t="s">
        <v>63</v>
      </c>
      <c r="Q32" s="147" t="s">
        <v>64</v>
      </c>
      <c r="R32" s="147" t="s">
        <v>65</v>
      </c>
      <c r="S32" s="147" t="s">
        <v>66</v>
      </c>
      <c r="T32" s="53" t="s">
        <v>32</v>
      </c>
    </row>
    <row r="33" spans="2:20" x14ac:dyDescent="0.25">
      <c r="B33" s="216">
        <f>B31+1</f>
        <v>11</v>
      </c>
      <c r="C33" s="63">
        <f>DATE(Statistik!$D$1,1,-2)-WEEKDAY(DATE(Statistik!$D$1,1,3))+B33*7</f>
        <v>46090</v>
      </c>
      <c r="D33" s="65">
        <f t="shared" si="16"/>
        <v>46091</v>
      </c>
      <c r="E33" s="65">
        <f t="shared" si="16"/>
        <v>46092</v>
      </c>
      <c r="F33" s="65">
        <f t="shared" si="16"/>
        <v>46093</v>
      </c>
      <c r="G33" s="65">
        <f t="shared" si="16"/>
        <v>46094</v>
      </c>
      <c r="H33" s="65">
        <f t="shared" si="16"/>
        <v>46095</v>
      </c>
      <c r="I33" s="65">
        <f t="shared" si="16"/>
        <v>46096</v>
      </c>
      <c r="J33" s="214">
        <f>COUNTIF(C34:I34,'pers. Daten'!$F$1)</f>
        <v>0</v>
      </c>
      <c r="L33" s="216">
        <v>35</v>
      </c>
      <c r="M33" s="166">
        <f>DATE(Statistik!$D$1,1,-2)-WEEKDAY(DATE(Statistik!$D$1,1,3))+L33*7</f>
        <v>46258</v>
      </c>
      <c r="N33" s="166">
        <f t="shared" ref="N33:S33" si="17">N24</f>
        <v>46259</v>
      </c>
      <c r="O33" s="166">
        <f t="shared" si="17"/>
        <v>46260</v>
      </c>
      <c r="P33" s="166">
        <f t="shared" si="17"/>
        <v>46261</v>
      </c>
      <c r="Q33" s="167">
        <f t="shared" si="17"/>
        <v>46262</v>
      </c>
      <c r="R33" s="166">
        <f t="shared" si="17"/>
        <v>46263</v>
      </c>
      <c r="S33" s="166">
        <f t="shared" si="17"/>
        <v>46264</v>
      </c>
      <c r="T33" s="214">
        <f>COUNTIF(M34:S34,'pers. Daten'!$F$1)</f>
        <v>0</v>
      </c>
    </row>
    <row r="34" spans="2:20" ht="15.75" thickBot="1" x14ac:dyDescent="0.3">
      <c r="B34" s="217"/>
      <c r="C34" s="127" t="str" cm="1">
        <f t="array" ref="C34">IF(SUMPRODUCT(--(C33&gt;='Planung Abwesenheiten'!$A$23:$A$30),--(C33&lt;='Planung Abwesenheiten'!$B$23:$B$30))&gt;0, "Seminar",
 IF(SUMPRODUCT(--(C33&gt;='Planung Abwesenheiten'!$A$4:$A$11),--(C33&lt;='Planung Abwesenheiten'!$B$4:$B$11))&gt;0, "Urlaub", ""))</f>
        <v/>
      </c>
      <c r="D34" s="127" t="str" cm="1">
        <f t="array" ref="D34">IF(SUMPRODUCT(--(D33&gt;='Planung Abwesenheiten'!$A$23:$A$30),--(D33&lt;='Planung Abwesenheiten'!$B$23:$B$30))&gt;0, "Seminar",
 IF(SUMPRODUCT(--(D33&gt;='Planung Abwesenheiten'!$A$4:$A$11),--(D33&lt;='Planung Abwesenheiten'!$B$4:$B$11))&gt;0, "Urlaub", ""))</f>
        <v/>
      </c>
      <c r="E34" s="127" t="str" cm="1">
        <f t="array" ref="E34">IF(SUMPRODUCT(--(E33&gt;='Planung Abwesenheiten'!$A$23:$A$30),--(E33&lt;='Planung Abwesenheiten'!$B$23:$B$30))&gt;0, "Seminar",
 IF(SUMPRODUCT(--(E33&gt;='Planung Abwesenheiten'!$A$4:$A$11),--(E33&lt;='Planung Abwesenheiten'!$B$4:$B$11))&gt;0, "Urlaub", ""))</f>
        <v/>
      </c>
      <c r="F34" s="127" t="str" cm="1">
        <f t="array" ref="F34">IF(SUMPRODUCT(--(F33&gt;='Planung Abwesenheiten'!$A$23:$A$30),--(F33&lt;='Planung Abwesenheiten'!$B$23:$B$30))&gt;0, "Seminar",
 IF(SUMPRODUCT(--(F33&gt;='Planung Abwesenheiten'!$A$4:$A$11),--(F33&lt;='Planung Abwesenheiten'!$B$4:$B$11))&gt;0, "Urlaub", ""))</f>
        <v/>
      </c>
      <c r="G34" s="127" t="str" cm="1">
        <f t="array" ref="G34">IF(SUMPRODUCT(--(G33&gt;='Planung Abwesenheiten'!$A$23:$A$30),--(G33&lt;='Planung Abwesenheiten'!$B$23:$B$30))&gt;0, "Seminar",
 IF(SUMPRODUCT(--(G33&gt;='Planung Abwesenheiten'!$A$4:$A$11),--(G33&lt;='Planung Abwesenheiten'!$B$4:$B$11))&gt;0, "Urlaub", ""))</f>
        <v/>
      </c>
      <c r="H34" s="127" t="str" cm="1">
        <f t="array" ref="H34">IF(SUMPRODUCT(--(H33&gt;='Planung Abwesenheiten'!$A$23:$A$30),--(H33&lt;='Planung Abwesenheiten'!$B$23:$B$30))&gt;0, "Seminar",
 IF(SUMPRODUCT(--(H33&gt;='Planung Abwesenheiten'!$A$4:$A$11),--(H33&lt;='Planung Abwesenheiten'!$B$4:$B$11))&gt;0, "Urlaub", ""))</f>
        <v/>
      </c>
      <c r="I34" s="127" t="str" cm="1">
        <f t="array" ref="I34">IF(SUMPRODUCT(--(I33&gt;='Planung Abwesenheiten'!$A$23:$A$30),--(I33&lt;='Planung Abwesenheiten'!$B$23:$B$30))&gt;0, "Seminar",
 IF(SUMPRODUCT(--(I33&gt;='Planung Abwesenheiten'!$A$4:$A$11),--(I33&lt;='Planung Abwesenheiten'!$B$4:$B$11))&gt;0, "Urlaub", ""))</f>
        <v/>
      </c>
      <c r="J34" s="215"/>
      <c r="L34" s="217"/>
      <c r="M34" s="209" t="str" cm="1">
        <f t="array" ref="M34">IF(SUMPRODUCT(--(M33&gt;='Planung Abwesenheiten'!$A$23:$A$30),--(M33&lt;='Planung Abwesenheiten'!$B$23:$B$30))&gt;0, "Seminar",
 IF(SUMPRODUCT(--(M33&gt;='Planung Abwesenheiten'!$A$4:$A$11),--(M33&lt;='Planung Abwesenheiten'!$B$4:$B$11))&gt;0, "Urlaub", ""))</f>
        <v/>
      </c>
      <c r="N34" s="209" t="str" cm="1">
        <f t="array" ref="N34">IF(SUMPRODUCT(--(N33&gt;='Planung Abwesenheiten'!$A$23:$A$30),--(N33&lt;='Planung Abwesenheiten'!$B$23:$B$30))&gt;0, "Seminar",
 IF(SUMPRODUCT(--(N33&gt;='Planung Abwesenheiten'!$A$4:$A$11),--(N33&lt;='Planung Abwesenheiten'!$B$4:$B$11))&gt;0, "Urlaub", ""))</f>
        <v/>
      </c>
      <c r="O34" s="209" t="str" cm="1">
        <f t="array" ref="O34">IF(SUMPRODUCT(--(O33&gt;='Planung Abwesenheiten'!$A$23:$A$30),--(O33&lt;='Planung Abwesenheiten'!$B$23:$B$30))&gt;0, "Seminar",
 IF(SUMPRODUCT(--(O33&gt;='Planung Abwesenheiten'!$A$4:$A$11),--(O33&lt;='Planung Abwesenheiten'!$B$4:$B$11))&gt;0, "Urlaub", ""))</f>
        <v/>
      </c>
      <c r="P34" s="209" t="str" cm="1">
        <f t="array" ref="P34">IF(SUMPRODUCT(--(P33&gt;='Planung Abwesenheiten'!$A$23:$A$30),--(P33&lt;='Planung Abwesenheiten'!$B$23:$B$30))&gt;0, "Seminar",
 IF(SUMPRODUCT(--(P33&gt;='Planung Abwesenheiten'!$A$4:$A$11),--(P33&lt;='Planung Abwesenheiten'!$B$4:$B$11))&gt;0, "Urlaub", ""))</f>
        <v/>
      </c>
      <c r="Q34" s="209" t="str" cm="1">
        <f t="array" ref="Q34">IF(SUMPRODUCT(--(Q33&gt;='Planung Abwesenheiten'!$A$23:$A$30),--(Q33&lt;='Planung Abwesenheiten'!$B$23:$B$30))&gt;0, "Seminar",
 IF(SUMPRODUCT(--(Q33&gt;='Planung Abwesenheiten'!$A$4:$A$11),--(Q33&lt;='Planung Abwesenheiten'!$B$4:$B$11))&gt;0, "Urlaub", ""))</f>
        <v/>
      </c>
      <c r="R34" s="209" t="str" cm="1">
        <f t="array" ref="R34">IF(SUMPRODUCT(--(R33&gt;='Planung Abwesenheiten'!$A$23:$A$30),--(R33&lt;='Planung Abwesenheiten'!$B$23:$B$30))&gt;0, "Seminar",
 IF(SUMPRODUCT(--(R33&gt;='Planung Abwesenheiten'!$A$4:$A$11),--(R33&lt;='Planung Abwesenheiten'!$B$4:$B$11))&gt;0, "Urlaub", ""))</f>
        <v/>
      </c>
      <c r="S34" s="209" t="str" cm="1">
        <f t="array" ref="S34">IF(SUMPRODUCT(--(S33&gt;='Planung Abwesenheiten'!$A$23:$A$30),--(S33&lt;='Planung Abwesenheiten'!$B$23:$B$30))&gt;0, "Seminar",
 IF(SUMPRODUCT(--(S33&gt;='Planung Abwesenheiten'!$A$4:$A$11),--(S33&lt;='Planung Abwesenheiten'!$B$4:$B$11))&gt;0, "Urlaub", ""))</f>
        <v/>
      </c>
      <c r="T34" s="215"/>
    </row>
    <row r="35" spans="2:20" x14ac:dyDescent="0.25">
      <c r="B35" s="216">
        <f>B33+1</f>
        <v>12</v>
      </c>
      <c r="C35" s="63">
        <f>DATE(Statistik!$D$1,1,-2)-WEEKDAY(DATE(Statistik!$D$1,1,3))+B35*7</f>
        <v>46097</v>
      </c>
      <c r="D35" s="65">
        <f t="shared" si="16"/>
        <v>46098</v>
      </c>
      <c r="E35" s="65">
        <f t="shared" si="16"/>
        <v>46099</v>
      </c>
      <c r="F35" s="65">
        <f t="shared" si="16"/>
        <v>46100</v>
      </c>
      <c r="G35" s="65">
        <f t="shared" si="16"/>
        <v>46101</v>
      </c>
      <c r="H35" s="65">
        <f t="shared" si="16"/>
        <v>46102</v>
      </c>
      <c r="I35" s="65">
        <f t="shared" si="16"/>
        <v>46103</v>
      </c>
      <c r="J35" s="214">
        <f>COUNTIF(C36:I36,'pers. Daten'!$F$1)</f>
        <v>0</v>
      </c>
      <c r="L35" s="203">
        <f>L33+1</f>
        <v>36</v>
      </c>
      <c r="M35" s="166">
        <f>DATE(Statistik!$D$1,1,-2)-WEEKDAY(DATE(Statistik!$D$1,1,3))+L35*7</f>
        <v>46265</v>
      </c>
      <c r="N35" s="167">
        <f t="shared" ref="N35:S41" si="18">N33+7</f>
        <v>46266</v>
      </c>
      <c r="O35" s="65">
        <f t="shared" si="18"/>
        <v>46267</v>
      </c>
      <c r="P35" s="65">
        <f t="shared" si="18"/>
        <v>46268</v>
      </c>
      <c r="Q35" s="65">
        <f t="shared" si="18"/>
        <v>46269</v>
      </c>
      <c r="R35" s="65">
        <f t="shared" si="18"/>
        <v>46270</v>
      </c>
      <c r="S35" s="65">
        <f t="shared" si="18"/>
        <v>46271</v>
      </c>
      <c r="T35" s="205">
        <f>COUNTIF(M36:S36,'pers. Daten'!$F$1)</f>
        <v>1</v>
      </c>
    </row>
    <row r="36" spans="2:20" ht="15.75" thickBot="1" x14ac:dyDescent="0.3">
      <c r="B36" s="217"/>
      <c r="C36" s="127" t="str" cm="1">
        <f t="array" ref="C36">IF(SUMPRODUCT(--(C35&gt;='Planung Abwesenheiten'!$A$23:$A$30),--(C35&lt;='Planung Abwesenheiten'!$B$23:$B$30))&gt;0, "Seminar",
 IF(SUMPRODUCT(--(C35&gt;='Planung Abwesenheiten'!$A$4:$A$11),--(C35&lt;='Planung Abwesenheiten'!$B$4:$B$11))&gt;0, "Urlaub", ""))</f>
        <v/>
      </c>
      <c r="D36" s="127" t="str" cm="1">
        <f t="array" ref="D36">IF(SUMPRODUCT(--(D35&gt;='Planung Abwesenheiten'!$A$23:$A$30),--(D35&lt;='Planung Abwesenheiten'!$B$23:$B$30))&gt;0, "Seminar",
 IF(SUMPRODUCT(--(D35&gt;='Planung Abwesenheiten'!$A$4:$A$11),--(D35&lt;='Planung Abwesenheiten'!$B$4:$B$11))&gt;0, "Urlaub", ""))</f>
        <v/>
      </c>
      <c r="E36" s="127" t="str" cm="1">
        <f t="array" ref="E36">IF(SUMPRODUCT(--(E35&gt;='Planung Abwesenheiten'!$A$23:$A$30),--(E35&lt;='Planung Abwesenheiten'!$B$23:$B$30))&gt;0, "Seminar",
 IF(SUMPRODUCT(--(E35&gt;='Planung Abwesenheiten'!$A$4:$A$11),--(E35&lt;='Planung Abwesenheiten'!$B$4:$B$11))&gt;0, "Urlaub", ""))</f>
        <v/>
      </c>
      <c r="F36" s="127" t="str" cm="1">
        <f t="array" ref="F36">IF(SUMPRODUCT(--(F35&gt;='Planung Abwesenheiten'!$A$23:$A$30),--(F35&lt;='Planung Abwesenheiten'!$B$23:$B$30))&gt;0, "Seminar",
 IF(SUMPRODUCT(--(F35&gt;='Planung Abwesenheiten'!$A$4:$A$11),--(F35&lt;='Planung Abwesenheiten'!$B$4:$B$11))&gt;0, "Urlaub", ""))</f>
        <v/>
      </c>
      <c r="G36" s="127" t="str" cm="1">
        <f t="array" ref="G36">IF(SUMPRODUCT(--(G35&gt;='Planung Abwesenheiten'!$A$23:$A$30),--(G35&lt;='Planung Abwesenheiten'!$B$23:$B$30))&gt;0, "Seminar",
 IF(SUMPRODUCT(--(G35&gt;='Planung Abwesenheiten'!$A$4:$A$11),--(G35&lt;='Planung Abwesenheiten'!$B$4:$B$11))&gt;0, "Urlaub", ""))</f>
        <v/>
      </c>
      <c r="H36" s="127" t="str" cm="1">
        <f t="array" ref="H36">IF(SUMPRODUCT(--(H35&gt;='Planung Abwesenheiten'!$A$23:$A$30),--(H35&lt;='Planung Abwesenheiten'!$B$23:$B$30))&gt;0, "Seminar",
 IF(SUMPRODUCT(--(H35&gt;='Planung Abwesenheiten'!$A$4:$A$11),--(H35&lt;='Planung Abwesenheiten'!$B$4:$B$11))&gt;0, "Urlaub", ""))</f>
        <v/>
      </c>
      <c r="I36" s="127" t="str" cm="1">
        <f t="array" ref="I36">IF(SUMPRODUCT(--(I35&gt;='Planung Abwesenheiten'!$A$23:$A$30),--(I35&lt;='Planung Abwesenheiten'!$B$23:$B$30))&gt;0, "Seminar",
 IF(SUMPRODUCT(--(I35&gt;='Planung Abwesenheiten'!$A$4:$A$11),--(I35&lt;='Planung Abwesenheiten'!$B$4:$B$11))&gt;0, "Urlaub", ""))</f>
        <v/>
      </c>
      <c r="J36" s="215"/>
      <c r="L36" s="204"/>
      <c r="M36" s="209" t="str" cm="1">
        <f t="array" ref="M36">IF(SUMPRODUCT(--(M35&gt;='Planung Abwesenheiten'!$A$23:$A$30),--(M35&lt;='Planung Abwesenheiten'!$B$23:$B$30))&gt;0, "Seminar",
 IF(SUMPRODUCT(--(M35&gt;='Planung Abwesenheiten'!$A$4:$A$11),--(M35&lt;='Planung Abwesenheiten'!$B$4:$B$11))&gt;0, "Urlaub", ""))</f>
        <v/>
      </c>
      <c r="N36" s="127" t="s">
        <v>22</v>
      </c>
      <c r="O36" s="127" t="str" cm="1">
        <f t="array" ref="O36">IF(SUMPRODUCT(--(O35&gt;='Planung Abwesenheiten'!$A$23:$A$30),--(O35&lt;='Planung Abwesenheiten'!$B$23:$B$30))&gt;0, "Seminar",
 IF(SUMPRODUCT(--(O35&gt;='Planung Abwesenheiten'!$A$4:$A$11),--(O35&lt;='Planung Abwesenheiten'!$B$4:$B$11))&gt;0, "Urlaub", ""))</f>
        <v/>
      </c>
      <c r="P36" s="127" t="str" cm="1">
        <f t="array" ref="P36">IF(SUMPRODUCT(--(P35&gt;='Planung Abwesenheiten'!$A$23:$A$30),--(P35&lt;='Planung Abwesenheiten'!$B$23:$B$30))&gt;0, "Seminar",
 IF(SUMPRODUCT(--(P35&gt;='Planung Abwesenheiten'!$A$4:$A$11),--(P35&lt;='Planung Abwesenheiten'!$B$4:$B$11))&gt;0, "Urlaub", ""))</f>
        <v/>
      </c>
      <c r="Q36" s="127" t="str" cm="1">
        <f t="array" ref="Q36">IF(SUMPRODUCT(--(Q35&gt;='Planung Abwesenheiten'!$A$23:$A$30),--(Q35&lt;='Planung Abwesenheiten'!$B$23:$B$30))&gt;0, "Seminar",
 IF(SUMPRODUCT(--(Q35&gt;='Planung Abwesenheiten'!$A$4:$A$11),--(Q35&lt;='Planung Abwesenheiten'!$B$4:$B$11))&gt;0, "Urlaub", ""))</f>
        <v/>
      </c>
      <c r="R36" s="127" t="str" cm="1">
        <f t="array" ref="R36">IF(SUMPRODUCT(--(R35&gt;='Planung Abwesenheiten'!$A$23:$A$30),--(R35&lt;='Planung Abwesenheiten'!$B$23:$B$30))&gt;0, "Seminar",
 IF(SUMPRODUCT(--(R35&gt;='Planung Abwesenheiten'!$A$4:$A$11),--(R35&lt;='Planung Abwesenheiten'!$B$4:$B$11))&gt;0, "Urlaub", ""))</f>
        <v/>
      </c>
      <c r="S36" s="127" t="str" cm="1">
        <f t="array" ref="S36">IF(SUMPRODUCT(--(S35&gt;='Planung Abwesenheiten'!$A$23:$A$30),--(S35&lt;='Planung Abwesenheiten'!$B$23:$B$30))&gt;0, "Seminar",
 IF(SUMPRODUCT(--(S35&gt;='Planung Abwesenheiten'!$A$4:$A$11),--(S35&lt;='Planung Abwesenheiten'!$B$4:$B$11))&gt;0, "Urlaub", ""))</f>
        <v/>
      </c>
      <c r="T36" s="206"/>
    </row>
    <row r="37" spans="2:20" x14ac:dyDescent="0.25">
      <c r="B37" s="216">
        <f>B35+1</f>
        <v>13</v>
      </c>
      <c r="C37" s="63">
        <f>DATE(Statistik!$D$1,1,-2)-WEEKDAY(DATE(Statistik!$D$1,1,3))+B37*7</f>
        <v>46104</v>
      </c>
      <c r="D37" s="65">
        <f t="shared" si="16"/>
        <v>46105</v>
      </c>
      <c r="E37" s="65">
        <f t="shared" si="16"/>
        <v>46106</v>
      </c>
      <c r="F37" s="65">
        <f t="shared" si="16"/>
        <v>46107</v>
      </c>
      <c r="G37" s="65">
        <f t="shared" si="16"/>
        <v>46108</v>
      </c>
      <c r="H37" s="65">
        <f t="shared" si="16"/>
        <v>46109</v>
      </c>
      <c r="I37" s="65">
        <f t="shared" si="16"/>
        <v>46110</v>
      </c>
      <c r="J37" s="214">
        <f>COUNTIF(C38:I38,'pers. Daten'!$F$1)</f>
        <v>1</v>
      </c>
      <c r="L37" s="203">
        <f>L35+1</f>
        <v>37</v>
      </c>
      <c r="M37" s="63">
        <f>DATE(Statistik!$D$1,1,-2)-WEEKDAY(DATE(Statistik!$D$1,1,3))+L37*7</f>
        <v>46272</v>
      </c>
      <c r="N37" s="65">
        <f t="shared" si="18"/>
        <v>46273</v>
      </c>
      <c r="O37" s="65">
        <f t="shared" si="18"/>
        <v>46274</v>
      </c>
      <c r="P37" s="65">
        <f t="shared" si="18"/>
        <v>46275</v>
      </c>
      <c r="Q37" s="65">
        <f t="shared" si="18"/>
        <v>46276</v>
      </c>
      <c r="R37" s="65">
        <f t="shared" si="18"/>
        <v>46277</v>
      </c>
      <c r="S37" s="65">
        <f t="shared" si="18"/>
        <v>46278</v>
      </c>
      <c r="T37" s="205">
        <f>COUNTIF(M38:S38,'pers. Daten'!$F$1)</f>
        <v>0</v>
      </c>
    </row>
    <row r="38" spans="2:20" ht="15.75" thickBot="1" x14ac:dyDescent="0.3">
      <c r="B38" s="217"/>
      <c r="C38" s="127" t="str" cm="1">
        <f t="array" ref="C38">IF(SUMPRODUCT(--(C37&gt;='Planung Abwesenheiten'!$A$23:$A$30),--(C37&lt;='Planung Abwesenheiten'!$B$23:$B$30))&gt;0, "Seminar",
 IF(SUMPRODUCT(--(C37&gt;='Planung Abwesenheiten'!$A$4:$A$11),--(C37&lt;='Planung Abwesenheiten'!$B$4:$B$11))&gt;0, "Urlaub", ""))</f>
        <v/>
      </c>
      <c r="D38" s="127" t="str" cm="1">
        <f t="array" ref="D38">IF(SUMPRODUCT(--(D37&gt;='Planung Abwesenheiten'!$A$23:$A$30),--(D37&lt;='Planung Abwesenheiten'!$B$23:$B$30))&gt;0, "Seminar",
 IF(SUMPRODUCT(--(D37&gt;='Planung Abwesenheiten'!$A$4:$A$11),--(D37&lt;='Planung Abwesenheiten'!$B$4:$B$11))&gt;0, "Urlaub", ""))</f>
        <v/>
      </c>
      <c r="E38" s="127" t="str" cm="1">
        <f t="array" ref="E38">IF(SUMPRODUCT(--(E37&gt;='Planung Abwesenheiten'!$A$23:$A$30),--(E37&lt;='Planung Abwesenheiten'!$B$23:$B$30))&gt;0, "Seminar",
 IF(SUMPRODUCT(--(E37&gt;='Planung Abwesenheiten'!$A$4:$A$11),--(E37&lt;='Planung Abwesenheiten'!$B$4:$B$11))&gt;0, "Urlaub", ""))</f>
        <v/>
      </c>
      <c r="F38" s="127" t="str" cm="1">
        <f t="array" ref="F38">IF(SUMPRODUCT(--(F37&gt;='Planung Abwesenheiten'!$A$23:$A$30),--(F37&lt;='Planung Abwesenheiten'!$B$23:$B$30))&gt;0, "Seminar",
 IF(SUMPRODUCT(--(F37&gt;='Planung Abwesenheiten'!$A$4:$A$11),--(F37&lt;='Planung Abwesenheiten'!$B$4:$B$11))&gt;0, "Urlaub", ""))</f>
        <v/>
      </c>
      <c r="G38" s="127" t="s">
        <v>22</v>
      </c>
      <c r="H38" s="127" t="str" cm="1">
        <f t="array" ref="H38">IF(SUMPRODUCT(--(H37&gt;='Planung Abwesenheiten'!$A$23:$A$30),--(H37&lt;='Planung Abwesenheiten'!$B$23:$B$30))&gt;0, "Seminar",
 IF(SUMPRODUCT(--(H37&gt;='Planung Abwesenheiten'!$A$4:$A$11),--(H37&lt;='Planung Abwesenheiten'!$B$4:$B$11))&gt;0, "Urlaub", ""))</f>
        <v/>
      </c>
      <c r="I38" s="127" t="str" cm="1">
        <f t="array" ref="I38">IF(SUMPRODUCT(--(I37&gt;='Planung Abwesenheiten'!$A$23:$A$30),--(I37&lt;='Planung Abwesenheiten'!$B$23:$B$30))&gt;0, "Seminar",
 IF(SUMPRODUCT(--(I37&gt;='Planung Abwesenheiten'!$A$4:$A$11),--(I37&lt;='Planung Abwesenheiten'!$B$4:$B$11))&gt;0, "Urlaub", ""))</f>
        <v/>
      </c>
      <c r="J38" s="215"/>
      <c r="L38" s="204"/>
      <c r="M38" s="127" t="str" cm="1">
        <f t="array" ref="M38">IF(SUMPRODUCT(--(M37&gt;='Planung Abwesenheiten'!$A$23:$A$30),--(M37&lt;='Planung Abwesenheiten'!$B$23:$B$30))&gt;0, "Seminar",
 IF(SUMPRODUCT(--(M37&gt;='Planung Abwesenheiten'!$A$4:$A$11),--(M37&lt;='Planung Abwesenheiten'!$B$4:$B$11))&gt;0, "Urlaub", ""))</f>
        <v/>
      </c>
      <c r="N38" s="127" t="str" cm="1">
        <f t="array" ref="N38">IF(SUMPRODUCT(--(N37&gt;='Planung Abwesenheiten'!$A$23:$A$30),--(N37&lt;='Planung Abwesenheiten'!$B$23:$B$30))&gt;0, "Seminar",
 IF(SUMPRODUCT(--(N37&gt;='Planung Abwesenheiten'!$A$4:$A$11),--(N37&lt;='Planung Abwesenheiten'!$B$4:$B$11))&gt;0, "Urlaub", ""))</f>
        <v/>
      </c>
      <c r="O38" s="127" t="str" cm="1">
        <f t="array" ref="O38">IF(SUMPRODUCT(--(O37&gt;='Planung Abwesenheiten'!$A$23:$A$30),--(O37&lt;='Planung Abwesenheiten'!$B$23:$B$30))&gt;0, "Seminar",
 IF(SUMPRODUCT(--(O37&gt;='Planung Abwesenheiten'!$A$4:$A$11),--(O37&lt;='Planung Abwesenheiten'!$B$4:$B$11))&gt;0, "Urlaub", ""))</f>
        <v/>
      </c>
      <c r="P38" s="127" t="str" cm="1">
        <f t="array" ref="P38">IF(SUMPRODUCT(--(P37&gt;='Planung Abwesenheiten'!$A$23:$A$30),--(P37&lt;='Planung Abwesenheiten'!$B$23:$B$30))&gt;0, "Seminar",
 IF(SUMPRODUCT(--(P37&gt;='Planung Abwesenheiten'!$A$4:$A$11),--(P37&lt;='Planung Abwesenheiten'!$B$4:$B$11))&gt;0, "Urlaub", ""))</f>
        <v/>
      </c>
      <c r="Q38" s="127" t="str" cm="1">
        <f t="array" ref="Q38">IF(SUMPRODUCT(--(Q37&gt;='Planung Abwesenheiten'!$A$23:$A$30),--(Q37&lt;='Planung Abwesenheiten'!$B$23:$B$30))&gt;0, "Seminar",
 IF(SUMPRODUCT(--(Q37&gt;='Planung Abwesenheiten'!$A$4:$A$11),--(Q37&lt;='Planung Abwesenheiten'!$B$4:$B$11))&gt;0, "Urlaub", ""))</f>
        <v/>
      </c>
      <c r="R38" s="127" t="str" cm="1">
        <f t="array" ref="R38">IF(SUMPRODUCT(--(R37&gt;='Planung Abwesenheiten'!$A$23:$A$30),--(R37&lt;='Planung Abwesenheiten'!$B$23:$B$30))&gt;0, "Seminar",
 IF(SUMPRODUCT(--(R37&gt;='Planung Abwesenheiten'!$A$4:$A$11),--(R37&lt;='Planung Abwesenheiten'!$B$4:$B$11))&gt;0, "Urlaub", ""))</f>
        <v/>
      </c>
      <c r="S38" s="127" t="str" cm="1">
        <f t="array" ref="S38">IF(SUMPRODUCT(--(S37&gt;='Planung Abwesenheiten'!$A$23:$A$30),--(S37&lt;='Planung Abwesenheiten'!$B$23:$B$30))&gt;0, "Seminar",
 IF(SUMPRODUCT(--(S37&gt;='Planung Abwesenheiten'!$A$4:$A$11),--(S37&lt;='Planung Abwesenheiten'!$B$4:$B$11))&gt;0, "Urlaub", ""))</f>
        <v/>
      </c>
      <c r="T38" s="206"/>
    </row>
    <row r="39" spans="2:20" x14ac:dyDescent="0.25">
      <c r="J39" s="54">
        <f>SUM(J29:J37)</f>
        <v>1</v>
      </c>
      <c r="L39" s="203">
        <f>L37+1</f>
        <v>38</v>
      </c>
      <c r="M39" s="63">
        <f>DATE(Statistik!$D$1,1,-2)-WEEKDAY(DATE(Statistik!$D$1,1,3))+L39*7</f>
        <v>46279</v>
      </c>
      <c r="N39" s="65">
        <f t="shared" si="18"/>
        <v>46280</v>
      </c>
      <c r="O39" s="65">
        <f t="shared" si="18"/>
        <v>46281</v>
      </c>
      <c r="P39" s="65">
        <f t="shared" si="18"/>
        <v>46282</v>
      </c>
      <c r="Q39" s="65">
        <f t="shared" si="18"/>
        <v>46283</v>
      </c>
      <c r="R39" s="65">
        <f t="shared" si="18"/>
        <v>46284</v>
      </c>
      <c r="S39" s="65">
        <f t="shared" si="18"/>
        <v>46285</v>
      </c>
      <c r="T39" s="205">
        <f>COUNTIF(M40:S40,'pers. Daten'!$F$1)</f>
        <v>0</v>
      </c>
    </row>
    <row r="40" spans="2:20" ht="15.75" thickBot="1" x14ac:dyDescent="0.3">
      <c r="B40" t="s">
        <v>70</v>
      </c>
      <c r="L40" s="204"/>
      <c r="M40" s="127" t="str" cm="1">
        <f t="array" ref="M40">IF(SUMPRODUCT(--(M39&gt;='Planung Abwesenheiten'!$A$23:$A$30),--(M39&lt;='Planung Abwesenheiten'!$B$23:$B$30))&gt;0, "Seminar",
 IF(SUMPRODUCT(--(M39&gt;='Planung Abwesenheiten'!$A$4:$A$11),--(M39&lt;='Planung Abwesenheiten'!$B$4:$B$11))&gt;0, "Urlaub", ""))</f>
        <v/>
      </c>
      <c r="N40" s="127" t="str" cm="1">
        <f t="array" ref="N40">IF(SUMPRODUCT(--(N39&gt;='Planung Abwesenheiten'!$A$23:$A$30),--(N39&lt;='Planung Abwesenheiten'!$B$23:$B$30))&gt;0, "Seminar",
 IF(SUMPRODUCT(--(N39&gt;='Planung Abwesenheiten'!$A$4:$A$11),--(N39&lt;='Planung Abwesenheiten'!$B$4:$B$11))&gt;0, "Urlaub", ""))</f>
        <v/>
      </c>
      <c r="O40" s="127" t="str" cm="1">
        <f t="array" ref="O40">IF(SUMPRODUCT(--(O39&gt;='Planung Abwesenheiten'!$A$23:$A$30),--(O39&lt;='Planung Abwesenheiten'!$B$23:$B$30))&gt;0, "Seminar",
 IF(SUMPRODUCT(--(O39&gt;='Planung Abwesenheiten'!$A$4:$A$11),--(O39&lt;='Planung Abwesenheiten'!$B$4:$B$11))&gt;0, "Urlaub", ""))</f>
        <v/>
      </c>
      <c r="P40" s="127" t="str" cm="1">
        <f t="array" ref="P40">IF(SUMPRODUCT(--(P39&gt;='Planung Abwesenheiten'!$A$23:$A$30),--(P39&lt;='Planung Abwesenheiten'!$B$23:$B$30))&gt;0, "Seminar",
 IF(SUMPRODUCT(--(P39&gt;='Planung Abwesenheiten'!$A$4:$A$11),--(P39&lt;='Planung Abwesenheiten'!$B$4:$B$11))&gt;0, "Urlaub", ""))</f>
        <v/>
      </c>
      <c r="Q40" s="127" t="str" cm="1">
        <f t="array" ref="Q40">IF(SUMPRODUCT(--(Q39&gt;='Planung Abwesenheiten'!$A$23:$A$30),--(Q39&lt;='Planung Abwesenheiten'!$B$23:$B$30))&gt;0, "Seminar",
 IF(SUMPRODUCT(--(Q39&gt;='Planung Abwesenheiten'!$A$4:$A$11),--(Q39&lt;='Planung Abwesenheiten'!$B$4:$B$11))&gt;0, "Urlaub", ""))</f>
        <v/>
      </c>
      <c r="R40" s="127" t="str" cm="1">
        <f t="array" ref="R40">IF(SUMPRODUCT(--(R39&gt;='Planung Abwesenheiten'!$A$23:$A$30),--(R39&lt;='Planung Abwesenheiten'!$B$23:$B$30))&gt;0, "Seminar",
 IF(SUMPRODUCT(--(R39&gt;='Planung Abwesenheiten'!$A$4:$A$11),--(R39&lt;='Planung Abwesenheiten'!$B$4:$B$11))&gt;0, "Urlaub", ""))</f>
        <v/>
      </c>
      <c r="S40" s="127" t="str" cm="1">
        <f t="array" ref="S40">IF(SUMPRODUCT(--(S39&gt;='Planung Abwesenheiten'!$A$23:$A$30),--(S39&lt;='Planung Abwesenheiten'!$B$23:$B$30))&gt;0, "Seminar",
 IF(SUMPRODUCT(--(S39&gt;='Planung Abwesenheiten'!$A$4:$A$11),--(S39&lt;='Planung Abwesenheiten'!$B$4:$B$11))&gt;0, "Urlaub", ""))</f>
        <v/>
      </c>
      <c r="T40" s="206"/>
    </row>
    <row r="41" spans="2:20" ht="15.75" thickBot="1" x14ac:dyDescent="0.3">
      <c r="B41" s="53" t="s">
        <v>40</v>
      </c>
      <c r="C41" s="147" t="s">
        <v>60</v>
      </c>
      <c r="D41" s="147" t="s">
        <v>61</v>
      </c>
      <c r="E41" s="147" t="s">
        <v>62</v>
      </c>
      <c r="F41" s="147" t="s">
        <v>63</v>
      </c>
      <c r="G41" s="147" t="s">
        <v>64</v>
      </c>
      <c r="H41" s="147" t="s">
        <v>65</v>
      </c>
      <c r="I41" s="147" t="s">
        <v>66</v>
      </c>
      <c r="J41" s="53" t="s">
        <v>32</v>
      </c>
      <c r="L41" s="203">
        <f>L39+1</f>
        <v>39</v>
      </c>
      <c r="M41" s="63">
        <f>DATE(Statistik!$D$1,1,-2)-WEEKDAY(DATE(Statistik!$D$1,1,3))+L41*7</f>
        <v>46286</v>
      </c>
      <c r="N41" s="65">
        <f t="shared" si="18"/>
        <v>46287</v>
      </c>
      <c r="O41" s="65">
        <f t="shared" si="18"/>
        <v>46288</v>
      </c>
      <c r="P41" s="65">
        <f t="shared" si="18"/>
        <v>46289</v>
      </c>
      <c r="Q41" s="65">
        <f t="shared" si="18"/>
        <v>46290</v>
      </c>
      <c r="R41" s="65">
        <f t="shared" si="18"/>
        <v>46291</v>
      </c>
      <c r="S41" s="65">
        <f t="shared" si="18"/>
        <v>46292</v>
      </c>
      <c r="T41" s="205">
        <f>COUNTIF(M42:S42,'pers. Daten'!$F$1)</f>
        <v>0</v>
      </c>
    </row>
    <row r="42" spans="2:20" ht="15.75" thickBot="1" x14ac:dyDescent="0.3">
      <c r="B42" s="216">
        <v>14</v>
      </c>
      <c r="C42" s="166">
        <f>DATE(Statistik!$D$1,1,-2)-WEEKDAY(DATE(Statistik!$D$1,1,3))+B42*7</f>
        <v>46111</v>
      </c>
      <c r="D42" s="167">
        <f t="shared" ref="D42:I42" si="19">D37+7</f>
        <v>46112</v>
      </c>
      <c r="E42" s="167">
        <f t="shared" si="19"/>
        <v>46113</v>
      </c>
      <c r="F42" s="167">
        <f t="shared" si="19"/>
        <v>46114</v>
      </c>
      <c r="G42" s="167">
        <f t="shared" si="19"/>
        <v>46115</v>
      </c>
      <c r="H42" s="166">
        <f t="shared" si="19"/>
        <v>46116</v>
      </c>
      <c r="I42" s="166">
        <f t="shared" si="19"/>
        <v>46117</v>
      </c>
      <c r="J42" s="214">
        <f>COUNTIF(C43:I43,'pers. Daten'!$F$1)</f>
        <v>1</v>
      </c>
      <c r="L42" s="204"/>
      <c r="M42" s="127" t="str" cm="1">
        <f t="array" ref="M42">IF(SUMPRODUCT(--(M41&gt;='Planung Abwesenheiten'!$A$23:$A$30),--(M41&lt;='Planung Abwesenheiten'!$B$23:$B$30))&gt;0, "Seminar",
 IF(SUMPRODUCT(--(M41&gt;='Planung Abwesenheiten'!$A$4:$A$11),--(M41&lt;='Planung Abwesenheiten'!$B$4:$B$11))&gt;0, "Urlaub", ""))</f>
        <v/>
      </c>
      <c r="N42" s="127" t="str" cm="1">
        <f t="array" ref="N42">IF(SUMPRODUCT(--(N41&gt;='Planung Abwesenheiten'!$A$23:$A$30),--(N41&lt;='Planung Abwesenheiten'!$B$23:$B$30))&gt;0, "Seminar",
 IF(SUMPRODUCT(--(N41&gt;='Planung Abwesenheiten'!$A$4:$A$11),--(N41&lt;='Planung Abwesenheiten'!$B$4:$B$11))&gt;0, "Urlaub", ""))</f>
        <v/>
      </c>
      <c r="O42" s="127" t="str" cm="1">
        <f t="array" ref="O42">IF(SUMPRODUCT(--(O41&gt;='Planung Abwesenheiten'!$A$23:$A$30),--(O41&lt;='Planung Abwesenheiten'!$B$23:$B$30))&gt;0, "Seminar",
 IF(SUMPRODUCT(--(O41&gt;='Planung Abwesenheiten'!$A$4:$A$11),--(O41&lt;='Planung Abwesenheiten'!$B$4:$B$11))&gt;0, "Urlaub", ""))</f>
        <v/>
      </c>
      <c r="P42" s="127" t="str" cm="1">
        <f t="array" ref="P42">IF(SUMPRODUCT(--(P41&gt;='Planung Abwesenheiten'!$A$23:$A$30),--(P41&lt;='Planung Abwesenheiten'!$B$23:$B$30))&gt;0, "Seminar",
 IF(SUMPRODUCT(--(P41&gt;='Planung Abwesenheiten'!$A$4:$A$11),--(P41&lt;='Planung Abwesenheiten'!$B$4:$B$11))&gt;0, "Urlaub", ""))</f>
        <v/>
      </c>
      <c r="Q42" s="127" t="str" cm="1">
        <f t="array" ref="Q42">IF(SUMPRODUCT(--(Q41&gt;='Planung Abwesenheiten'!$A$23:$A$30),--(Q41&lt;='Planung Abwesenheiten'!$B$23:$B$30))&gt;0, "Seminar",
 IF(SUMPRODUCT(--(Q41&gt;='Planung Abwesenheiten'!$A$4:$A$11),--(Q41&lt;='Planung Abwesenheiten'!$B$4:$B$11))&gt;0, "Urlaub", ""))</f>
        <v/>
      </c>
      <c r="R42" s="127" t="str" cm="1">
        <f t="array" ref="R42">IF(SUMPRODUCT(--(R41&gt;='Planung Abwesenheiten'!$A$23:$A$30),--(R41&lt;='Planung Abwesenheiten'!$B$23:$B$30))&gt;0, "Seminar",
 IF(SUMPRODUCT(--(R41&gt;='Planung Abwesenheiten'!$A$4:$A$11),--(R41&lt;='Planung Abwesenheiten'!$B$4:$B$11))&gt;0, "Urlaub", ""))</f>
        <v/>
      </c>
      <c r="S42" s="127" t="str" cm="1">
        <f t="array" ref="S42">IF(SUMPRODUCT(--(S41&gt;='Planung Abwesenheiten'!$A$23:$A$30),--(S41&lt;='Planung Abwesenheiten'!$B$23:$B$30))&gt;0, "Seminar",
 IF(SUMPRODUCT(--(S41&gt;='Planung Abwesenheiten'!$A$4:$A$11),--(S41&lt;='Planung Abwesenheiten'!$B$4:$B$11))&gt;0, "Urlaub", ""))</f>
        <v/>
      </c>
      <c r="T42" s="206"/>
    </row>
    <row r="43" spans="2:20" ht="15.75" thickBot="1" x14ac:dyDescent="0.3">
      <c r="B43" s="217"/>
      <c r="C43" s="127" t="str" cm="1">
        <f t="array" ref="C43">IF(SUMPRODUCT(--(C42&gt;='Planung Abwesenheiten'!$A$23:$A$30),--(C42&lt;='Planung Abwesenheiten'!$B$23:$B$30))&gt;0, "Seminar",
 IF(SUMPRODUCT(--(C42&gt;='Planung Abwesenheiten'!$A$4:$A$11),--(C42&lt;='Planung Abwesenheiten'!$B$4:$B$11))&gt;0, "Urlaub", ""))</f>
        <v/>
      </c>
      <c r="D43" s="127" t="str" cm="1">
        <f t="array" ref="D43">IF(SUMPRODUCT(--(D42&gt;='Planung Abwesenheiten'!$A$23:$A$30),--(D42&lt;='Planung Abwesenheiten'!$B$23:$B$30))&gt;0, "Seminar",
 IF(SUMPRODUCT(--(D42&gt;='Planung Abwesenheiten'!$A$4:$A$11),--(D42&lt;='Planung Abwesenheiten'!$B$4:$B$11))&gt;0, "Urlaub", ""))</f>
        <v/>
      </c>
      <c r="E43" s="127" t="s">
        <v>22</v>
      </c>
      <c r="F43" s="127" t="str" cm="1">
        <f t="array" ref="F43">IF(SUMPRODUCT(--(F42&gt;='Planung Abwesenheiten'!$A$23:$A$30),--(F42&lt;='Planung Abwesenheiten'!$B$23:$B$30))&gt;0, "Seminar",
 IF(SUMPRODUCT(--(F42&gt;='Planung Abwesenheiten'!$A$4:$A$11),--(F42&lt;='Planung Abwesenheiten'!$B$4:$B$11))&gt;0, "Urlaub", ""))</f>
        <v/>
      </c>
      <c r="G43" s="169" t="s">
        <v>230</v>
      </c>
      <c r="H43" s="127" t="str" cm="1">
        <f t="array" ref="H43">IF(SUMPRODUCT(--(H42&gt;='Planung Abwesenheiten'!$A$23:$A$30),--(H42&lt;='Planung Abwesenheiten'!$B$23:$B$30))&gt;0, "Seminar",
 IF(SUMPRODUCT(--(H42&gt;='Planung Abwesenheiten'!$A$4:$A$11),--(H42&lt;='Planung Abwesenheiten'!$B$4:$B$11))&gt;0, "Urlaub", ""))</f>
        <v/>
      </c>
      <c r="I43" s="169" t="s">
        <v>231</v>
      </c>
      <c r="J43" s="215"/>
      <c r="T43" s="54">
        <f>SUM(T33:T41)</f>
        <v>1</v>
      </c>
    </row>
    <row r="44" spans="2:20" x14ac:dyDescent="0.25">
      <c r="B44" s="216">
        <f>B42+1</f>
        <v>15</v>
      </c>
      <c r="C44" s="166">
        <f>DATE(Statistik!$D$1,1,-2)-WEEKDAY(DATE(Statistik!$D$1,1,3))+B44*7</f>
        <v>46118</v>
      </c>
      <c r="D44" s="167">
        <f t="shared" ref="D44:I44" si="20">D42+7</f>
        <v>46119</v>
      </c>
      <c r="E44" s="167">
        <f t="shared" si="20"/>
        <v>46120</v>
      </c>
      <c r="F44" s="167">
        <f t="shared" si="20"/>
        <v>46121</v>
      </c>
      <c r="G44" s="167">
        <f t="shared" si="20"/>
        <v>46122</v>
      </c>
      <c r="H44" s="167">
        <f t="shared" si="20"/>
        <v>46123</v>
      </c>
      <c r="I44" s="167">
        <f t="shared" si="20"/>
        <v>46124</v>
      </c>
      <c r="J44" s="214">
        <f>COUNTIF(C45:I45,'pers. Daten'!$F$1)</f>
        <v>2</v>
      </c>
      <c r="L44" t="s">
        <v>76</v>
      </c>
    </row>
    <row r="45" spans="2:20" ht="15.75" thickBot="1" x14ac:dyDescent="0.3">
      <c r="B45" s="217"/>
      <c r="C45" s="169" t="s">
        <v>231</v>
      </c>
      <c r="D45" s="175" t="str" cm="1">
        <f t="array" ref="D45">IF(SUMPRODUCT(--(D44&gt;='Planung Abwesenheiten'!$A$23:$A$30),--(D44&lt;='Planung Abwesenheiten'!$B$23:$B$30))&gt;0, "Seminar",
 IF(SUMPRODUCT(--(D44&gt;='Planung Abwesenheiten'!$A$4:$A$11),--(D44&lt;='Planung Abwesenheiten'!$B$4:$B$11))&gt;0, "Urlaub", ""))</f>
        <v/>
      </c>
      <c r="E45" s="175" t="s">
        <v>22</v>
      </c>
      <c r="F45" s="175" t="str" cm="1">
        <f t="array" ref="F45">IF(SUMPRODUCT(--(F44&gt;='Planung Abwesenheiten'!$A$23:$A$30),--(F44&lt;='Planung Abwesenheiten'!$B$23:$B$30))&gt;0, "Seminar",
 IF(SUMPRODUCT(--(F44&gt;='Planung Abwesenheiten'!$A$4:$A$11),--(F44&lt;='Planung Abwesenheiten'!$B$4:$B$11))&gt;0, "Urlaub", ""))</f>
        <v/>
      </c>
      <c r="G45" s="175" t="s">
        <v>22</v>
      </c>
      <c r="H45" s="127" t="str" cm="1">
        <f t="array" ref="H45">IF(SUMPRODUCT(--(H44&gt;='Planung Abwesenheiten'!$A$23:$A$30),--(H44&lt;='Planung Abwesenheiten'!$B$23:$B$30))&gt;0, "Seminar",
 IF(SUMPRODUCT(--(H44&gt;='Planung Abwesenheiten'!$A$4:$A$11),--(H44&lt;='Planung Abwesenheiten'!$B$4:$B$11))&gt;0, "Urlaub", ""))</f>
        <v/>
      </c>
      <c r="I45" s="127" t="str" cm="1">
        <f t="array" ref="I45">IF(SUMPRODUCT(--(I44&gt;='Planung Abwesenheiten'!$A$23:$A$30),--(I44&lt;='Planung Abwesenheiten'!$B$23:$B$30))&gt;0, "Seminar",
 IF(SUMPRODUCT(--(I44&gt;='Planung Abwesenheiten'!$A$4:$A$11),--(I44&lt;='Planung Abwesenheiten'!$B$4:$B$11))&gt;0, "Urlaub", ""))</f>
        <v/>
      </c>
      <c r="J45" s="215"/>
      <c r="L45" s="53" t="s">
        <v>40</v>
      </c>
      <c r="M45" s="147" t="s">
        <v>60</v>
      </c>
      <c r="N45" s="147" t="s">
        <v>61</v>
      </c>
      <c r="O45" s="147" t="s">
        <v>62</v>
      </c>
      <c r="P45" s="147" t="s">
        <v>63</v>
      </c>
      <c r="Q45" s="147" t="s">
        <v>64</v>
      </c>
      <c r="R45" s="147" t="s">
        <v>65</v>
      </c>
      <c r="S45" s="147" t="s">
        <v>66</v>
      </c>
      <c r="T45" s="53" t="s">
        <v>32</v>
      </c>
    </row>
    <row r="46" spans="2:20" x14ac:dyDescent="0.25">
      <c r="B46" s="216">
        <f>B44+1</f>
        <v>16</v>
      </c>
      <c r="C46" s="63">
        <f>DATE(Statistik!$D$1,1,-2)-WEEKDAY(DATE(Statistik!$D$1,1,3))+B46*7</f>
        <v>46125</v>
      </c>
      <c r="D46" s="66">
        <f t="shared" ref="D46:I50" si="21">D44+7</f>
        <v>46126</v>
      </c>
      <c r="E46" s="66">
        <f t="shared" si="21"/>
        <v>46127</v>
      </c>
      <c r="F46" s="66">
        <f t="shared" si="21"/>
        <v>46128</v>
      </c>
      <c r="G46" s="66">
        <f t="shared" si="21"/>
        <v>46129</v>
      </c>
      <c r="H46" s="66">
        <f t="shared" si="21"/>
        <v>46130</v>
      </c>
      <c r="I46" s="66">
        <f t="shared" si="21"/>
        <v>46131</v>
      </c>
      <c r="J46" s="214">
        <f>COUNTIF(C47:I47,'pers. Daten'!$F$1)</f>
        <v>2</v>
      </c>
      <c r="L46" s="203">
        <v>40</v>
      </c>
      <c r="M46" s="63">
        <f>DATE(Statistik!$D$1,1,-2)-WEEKDAY(DATE(Statistik!$D$1,1,3))+L46*7</f>
        <v>46293</v>
      </c>
      <c r="N46" s="63">
        <f t="shared" ref="N46:S46" si="22">N41+7</f>
        <v>46294</v>
      </c>
      <c r="O46" s="65">
        <f t="shared" si="22"/>
        <v>46295</v>
      </c>
      <c r="P46" s="65">
        <f t="shared" si="22"/>
        <v>46296</v>
      </c>
      <c r="Q46" s="63">
        <f t="shared" si="22"/>
        <v>46297</v>
      </c>
      <c r="R46" s="63">
        <f t="shared" si="22"/>
        <v>46298</v>
      </c>
      <c r="S46" s="63">
        <f t="shared" si="22"/>
        <v>46299</v>
      </c>
      <c r="T46" s="205">
        <f>COUNTIF(M47:S47,'pers. Daten'!$F$1)</f>
        <v>0</v>
      </c>
    </row>
    <row r="47" spans="2:20" ht="15.75" thickBot="1" x14ac:dyDescent="0.3">
      <c r="B47" s="217"/>
      <c r="C47" s="127" t="str" cm="1">
        <f t="array" ref="C47">IF(SUMPRODUCT(--(C46&gt;='Planung Abwesenheiten'!$A$23:$A$30),--(C46&lt;='Planung Abwesenheiten'!$B$23:$B$30))&gt;0, "Seminar",
 IF(SUMPRODUCT(--(C46&gt;='Planung Abwesenheiten'!$A$4:$A$11),--(C46&lt;='Planung Abwesenheiten'!$B$4:$B$11))&gt;0, "Urlaub", ""))</f>
        <v/>
      </c>
      <c r="D47" s="127" t="s">
        <v>22</v>
      </c>
      <c r="E47" s="127"/>
      <c r="F47" s="127" t="s">
        <v>22</v>
      </c>
      <c r="G47" s="127"/>
      <c r="H47" s="127" t="str" cm="1">
        <f t="array" ref="H47">IF(SUMPRODUCT(--(H46&gt;='Planung Abwesenheiten'!$A$23:$A$30),--(H46&lt;='Planung Abwesenheiten'!$B$23:$B$30))&gt;0, "Seminar",
 IF(SUMPRODUCT(--(H46&gt;='Planung Abwesenheiten'!$A$4:$A$11),--(H46&lt;='Planung Abwesenheiten'!$B$4:$B$11))&gt;0, "Urlaub", ""))</f>
        <v/>
      </c>
      <c r="I47" s="127" t="str" cm="1">
        <f t="array" ref="I47">IF(SUMPRODUCT(--(I46&gt;='Planung Abwesenheiten'!$A$23:$A$30),--(I46&lt;='Planung Abwesenheiten'!$B$23:$B$30))&gt;0, "Seminar",
 IF(SUMPRODUCT(--(I46&gt;='Planung Abwesenheiten'!$A$4:$A$11),--(I46&lt;='Planung Abwesenheiten'!$B$4:$B$11))&gt;0, "Urlaub", ""))</f>
        <v/>
      </c>
      <c r="J47" s="215"/>
      <c r="L47" s="204"/>
      <c r="M47" s="127" t="str" cm="1">
        <f t="array" ref="M47">IF(SUMPRODUCT(--(M46&gt;='Planung Abwesenheiten'!$A$23:$A$30),--(M46&lt;='Planung Abwesenheiten'!$B$23:$B$30))&gt;0, "Seminar",
 IF(SUMPRODUCT(--(M46&gt;='Planung Abwesenheiten'!$A$4:$A$11),--(M46&lt;='Planung Abwesenheiten'!$B$4:$B$11))&gt;0, "Urlaub", ""))</f>
        <v/>
      </c>
      <c r="N47" s="127" t="str" cm="1">
        <f t="array" ref="N47">IF(SUMPRODUCT(--(N46&gt;='Planung Abwesenheiten'!$A$23:$A$30),--(N46&lt;='Planung Abwesenheiten'!$B$23:$B$30))&gt;0, "Seminar",
 IF(SUMPRODUCT(--(N46&gt;='Planung Abwesenheiten'!$A$4:$A$11),--(N46&lt;='Planung Abwesenheiten'!$B$4:$B$11))&gt;0, "Urlaub", ""))</f>
        <v/>
      </c>
      <c r="O47" s="127" t="str" cm="1">
        <f t="array" ref="O47">IF(SUMPRODUCT(--(O46&gt;='Planung Abwesenheiten'!$A$23:$A$30),--(O46&lt;='Planung Abwesenheiten'!$B$23:$B$30))&gt;0, "Seminar",
 IF(SUMPRODUCT(--(O46&gt;='Planung Abwesenheiten'!$A$4:$A$11),--(O46&lt;='Planung Abwesenheiten'!$B$4:$B$11))&gt;0, "Urlaub", ""))</f>
        <v/>
      </c>
      <c r="P47" s="127" t="str" cm="1">
        <f t="array" ref="P47">IF(SUMPRODUCT(--(P46&gt;='Planung Abwesenheiten'!$A$23:$A$30),--(P46&lt;='Planung Abwesenheiten'!$B$23:$B$30))&gt;0, "Seminar",
 IF(SUMPRODUCT(--(P46&gt;='Planung Abwesenheiten'!$A$4:$A$11),--(P46&lt;='Planung Abwesenheiten'!$B$4:$B$11))&gt;0, "Urlaub", ""))</f>
        <v/>
      </c>
      <c r="Q47" s="127" t="str" cm="1">
        <f t="array" ref="Q47">IF(SUMPRODUCT(--(Q46&gt;='Planung Abwesenheiten'!$A$23:$A$30),--(Q46&lt;='Planung Abwesenheiten'!$B$23:$B$30))&gt;0, "Seminar",
 IF(SUMPRODUCT(--(Q46&gt;='Planung Abwesenheiten'!$A$4:$A$11),--(Q46&lt;='Planung Abwesenheiten'!$B$4:$B$11))&gt;0, "Urlaub", ""))</f>
        <v/>
      </c>
      <c r="R47" s="127" t="s">
        <v>236</v>
      </c>
      <c r="S47" s="127" t="str" cm="1">
        <f t="array" ref="S47">IF(SUMPRODUCT(--(S46&gt;='Planung Abwesenheiten'!$A$23:$A$30),--(S46&lt;='Planung Abwesenheiten'!$B$23:$B$30))&gt;0, "Seminar",
 IF(SUMPRODUCT(--(S46&gt;='Planung Abwesenheiten'!$A$4:$A$11),--(S46&lt;='Planung Abwesenheiten'!$B$4:$B$11))&gt;0, "Urlaub", ""))</f>
        <v/>
      </c>
      <c r="T47" s="206"/>
    </row>
    <row r="48" spans="2:20" x14ac:dyDescent="0.25">
      <c r="B48" s="216">
        <f>B46+1</f>
        <v>17</v>
      </c>
      <c r="C48" s="63">
        <f>DATE(Statistik!$D$1,1,-2)-WEEKDAY(DATE(Statistik!$D$1,1,3))+B48*7</f>
        <v>46132</v>
      </c>
      <c r="D48" s="66">
        <f t="shared" si="21"/>
        <v>46133</v>
      </c>
      <c r="E48" s="66">
        <f t="shared" si="21"/>
        <v>46134</v>
      </c>
      <c r="F48" s="66">
        <f t="shared" si="21"/>
        <v>46135</v>
      </c>
      <c r="G48" s="66">
        <f t="shared" si="21"/>
        <v>46136</v>
      </c>
      <c r="H48" s="66">
        <f t="shared" si="21"/>
        <v>46137</v>
      </c>
      <c r="I48" s="66">
        <f t="shared" si="21"/>
        <v>46138</v>
      </c>
      <c r="J48" s="214">
        <f>COUNTIF(C49:I49,'pers. Daten'!$F$1)</f>
        <v>2</v>
      </c>
      <c r="L48" s="203">
        <f>L46+1</f>
        <v>41</v>
      </c>
      <c r="M48" s="63">
        <f>DATE(Statistik!$D$1,1,-2)-WEEKDAY(DATE(Statistik!$D$1,1,3))+L48*7</f>
        <v>46300</v>
      </c>
      <c r="N48" s="65">
        <f t="shared" ref="N48:S54" si="23">N46+7</f>
        <v>46301</v>
      </c>
      <c r="O48" s="65">
        <f t="shared" si="23"/>
        <v>46302</v>
      </c>
      <c r="P48" s="65">
        <f t="shared" si="23"/>
        <v>46303</v>
      </c>
      <c r="Q48" s="65">
        <f t="shared" si="23"/>
        <v>46304</v>
      </c>
      <c r="R48" s="65">
        <f t="shared" si="23"/>
        <v>46305</v>
      </c>
      <c r="S48" s="65">
        <f t="shared" si="23"/>
        <v>46306</v>
      </c>
      <c r="T48" s="205">
        <f>COUNTIF(M49:S49,'pers. Daten'!$F$1)</f>
        <v>0</v>
      </c>
    </row>
    <row r="49" spans="2:20" ht="15.75" thickBot="1" x14ac:dyDescent="0.3">
      <c r="B49" s="217"/>
      <c r="C49" s="127" t="s">
        <v>22</v>
      </c>
      <c r="D49" s="127" t="str" cm="1">
        <f t="array" ref="D49">IF(SUMPRODUCT(--(D48&gt;='Planung Abwesenheiten'!$A$23:$A$30),--(D48&lt;='Planung Abwesenheiten'!$B$23:$B$30))&gt;0, "Seminar",
 IF(SUMPRODUCT(--(D48&gt;='Planung Abwesenheiten'!$A$4:$A$11),--(D48&lt;='Planung Abwesenheiten'!$B$4:$B$11))&gt;0, "Urlaub", ""))</f>
        <v/>
      </c>
      <c r="E49" s="127"/>
      <c r="F49" s="127" t="str" cm="1">
        <f t="array" ref="F49">IF(SUMPRODUCT(--(F48&gt;='Planung Abwesenheiten'!$A$23:$A$30),--(F48&lt;='Planung Abwesenheiten'!$B$23:$B$30))&gt;0, "Seminar",
 IF(SUMPRODUCT(--(F48&gt;='Planung Abwesenheiten'!$A$4:$A$11),--(F48&lt;='Planung Abwesenheiten'!$B$4:$B$11))&gt;0, "Urlaub", ""))</f>
        <v/>
      </c>
      <c r="G49" s="127" t="s">
        <v>22</v>
      </c>
      <c r="H49" s="127" t="str" cm="1">
        <f t="array" ref="H49">IF(SUMPRODUCT(--(H48&gt;='Planung Abwesenheiten'!$A$23:$A$30),--(H48&lt;='Planung Abwesenheiten'!$B$23:$B$30))&gt;0, "Seminar",
 IF(SUMPRODUCT(--(H48&gt;='Planung Abwesenheiten'!$A$4:$A$11),--(H48&lt;='Planung Abwesenheiten'!$B$4:$B$11))&gt;0, "Urlaub", ""))</f>
        <v/>
      </c>
      <c r="I49" s="127" t="str" cm="1">
        <f t="array" ref="I49">IF(SUMPRODUCT(--(I48&gt;='Planung Abwesenheiten'!$A$23:$A$30),--(I48&lt;='Planung Abwesenheiten'!$B$23:$B$30))&gt;0, "Seminar",
 IF(SUMPRODUCT(--(I48&gt;='Planung Abwesenheiten'!$A$4:$A$11),--(I48&lt;='Planung Abwesenheiten'!$B$4:$B$11))&gt;0, "Urlaub", ""))</f>
        <v/>
      </c>
      <c r="J49" s="215"/>
      <c r="L49" s="204"/>
      <c r="M49" s="127" t="str" cm="1">
        <f t="array" ref="M49">IF(SUMPRODUCT(--(M48&gt;='Planung Abwesenheiten'!$A$23:$A$30),--(M48&lt;='Planung Abwesenheiten'!$B$23:$B$30))&gt;0, "Seminar",
 IF(SUMPRODUCT(--(M48&gt;='Planung Abwesenheiten'!$A$4:$A$11),--(M48&lt;='Planung Abwesenheiten'!$B$4:$B$11))&gt;0, "Urlaub", ""))</f>
        <v/>
      </c>
      <c r="N49" s="127" t="s">
        <v>29</v>
      </c>
      <c r="O49" s="127" t="str" cm="1">
        <f t="array" ref="O49">IF(SUMPRODUCT(--(O48&gt;='Planung Abwesenheiten'!$A$23:$A$30),--(O48&lt;='Planung Abwesenheiten'!$B$23:$B$30))&gt;0, "Seminar",
 IF(SUMPRODUCT(--(O48&gt;='Planung Abwesenheiten'!$A$4:$A$11),--(O48&lt;='Planung Abwesenheiten'!$B$4:$B$11))&gt;0, "Urlaub", ""))</f>
        <v/>
      </c>
      <c r="P49" s="127" t="str" cm="1">
        <f t="array" ref="P49">IF(SUMPRODUCT(--(P48&gt;='Planung Abwesenheiten'!$A$23:$A$30),--(P48&lt;='Planung Abwesenheiten'!$B$23:$B$30))&gt;0, "Seminar",
 IF(SUMPRODUCT(--(P48&gt;='Planung Abwesenheiten'!$A$4:$A$11),--(P48&lt;='Planung Abwesenheiten'!$B$4:$B$11))&gt;0, "Urlaub", ""))</f>
        <v/>
      </c>
      <c r="Q49" s="127" t="str" cm="1">
        <f t="array" ref="Q49">IF(SUMPRODUCT(--(Q48&gt;='Planung Abwesenheiten'!$A$23:$A$30),--(Q48&lt;='Planung Abwesenheiten'!$B$23:$B$30))&gt;0, "Seminar",
 IF(SUMPRODUCT(--(Q48&gt;='Planung Abwesenheiten'!$A$4:$A$11),--(Q48&lt;='Planung Abwesenheiten'!$B$4:$B$11))&gt;0, "Urlaub", ""))</f>
        <v/>
      </c>
      <c r="R49" s="127" t="str" cm="1">
        <f t="array" ref="R49">IF(SUMPRODUCT(--(R48&gt;='Planung Abwesenheiten'!$A$23:$A$30),--(R48&lt;='Planung Abwesenheiten'!$B$23:$B$30))&gt;0, "Seminar",
 IF(SUMPRODUCT(--(R48&gt;='Planung Abwesenheiten'!$A$4:$A$11),--(R48&lt;='Planung Abwesenheiten'!$B$4:$B$11))&gt;0, "Urlaub", ""))</f>
        <v/>
      </c>
      <c r="S49" s="127" t="str" cm="1">
        <f t="array" ref="S49">IF(SUMPRODUCT(--(S48&gt;='Planung Abwesenheiten'!$A$23:$A$30),--(S48&lt;='Planung Abwesenheiten'!$B$23:$B$30))&gt;0, "Seminar",
 IF(SUMPRODUCT(--(S48&gt;='Planung Abwesenheiten'!$A$4:$A$11),--(S48&lt;='Planung Abwesenheiten'!$B$4:$B$11))&gt;0, "Urlaub", ""))</f>
        <v/>
      </c>
      <c r="T49" s="206"/>
    </row>
    <row r="50" spans="2:20" x14ac:dyDescent="0.25">
      <c r="B50" s="216">
        <f>B48+1</f>
        <v>18</v>
      </c>
      <c r="C50" s="66">
        <f>C48+7</f>
        <v>46139</v>
      </c>
      <c r="D50" s="66">
        <f t="shared" si="21"/>
        <v>46140</v>
      </c>
      <c r="E50" s="66">
        <f t="shared" si="21"/>
        <v>46141</v>
      </c>
      <c r="F50" s="66">
        <f t="shared" si="21"/>
        <v>46142</v>
      </c>
      <c r="G50" s="66">
        <f t="shared" si="21"/>
        <v>46143</v>
      </c>
      <c r="H50" s="66">
        <f t="shared" si="21"/>
        <v>46144</v>
      </c>
      <c r="I50" s="66">
        <f t="shared" si="21"/>
        <v>46145</v>
      </c>
      <c r="J50" s="214">
        <f>COUNTIF(C51:I51,'pers. Daten'!$F$1)</f>
        <v>1</v>
      </c>
      <c r="L50" s="203">
        <f>L48+1</f>
        <v>42</v>
      </c>
      <c r="M50" s="63">
        <f>DATE(Statistik!$D$1,1,-2)-WEEKDAY(DATE(Statistik!$D$1,1,3))+L50*7</f>
        <v>46307</v>
      </c>
      <c r="N50" s="65">
        <f t="shared" si="23"/>
        <v>46308</v>
      </c>
      <c r="O50" s="65">
        <f t="shared" si="23"/>
        <v>46309</v>
      </c>
      <c r="P50" s="65">
        <f t="shared" si="23"/>
        <v>46310</v>
      </c>
      <c r="Q50" s="65">
        <f t="shared" si="23"/>
        <v>46311</v>
      </c>
      <c r="R50" s="65">
        <f t="shared" si="23"/>
        <v>46312</v>
      </c>
      <c r="S50" s="65">
        <f t="shared" si="23"/>
        <v>46313</v>
      </c>
      <c r="T50" s="205">
        <f>COUNTIF(M51:S51,'pers. Daten'!$F$1)</f>
        <v>0</v>
      </c>
    </row>
    <row r="51" spans="2:20" ht="15.75" thickBot="1" x14ac:dyDescent="0.3">
      <c r="B51" s="217"/>
      <c r="C51" s="127" t="str" cm="1">
        <f t="array" ref="C51">IF(SUMPRODUCT(--(C50&gt;='Planung Abwesenheiten'!$A$23:$A$30),--(C50&lt;='Planung Abwesenheiten'!$B$23:$B$30))&gt;0, "Seminar",
 IF(SUMPRODUCT(--(C50&gt;='Planung Abwesenheiten'!$A$4:$A$11),--(C50&lt;='Planung Abwesenheiten'!$B$4:$B$11))&gt;0, "Urlaub", ""))</f>
        <v/>
      </c>
      <c r="D51" s="127" t="str" cm="1">
        <f t="array" ref="D51">IF(SUMPRODUCT(--(D50&gt;='Planung Abwesenheiten'!$A$23:$A$30),--(D50&lt;='Planung Abwesenheiten'!$B$23:$B$30))&gt;0, "Seminar",
 IF(SUMPRODUCT(--(D50&gt;='Planung Abwesenheiten'!$A$4:$A$11),--(D50&lt;='Planung Abwesenheiten'!$B$4:$B$11))&gt;0, "Urlaub", ""))</f>
        <v/>
      </c>
      <c r="E51" s="127" t="s">
        <v>22</v>
      </c>
      <c r="F51" s="127" t="str" cm="1">
        <f t="array" ref="F51">IF(SUMPRODUCT(--(F50&gt;='Planung Abwesenheiten'!$A$23:$A$30),--(F50&lt;='Planung Abwesenheiten'!$B$23:$B$30))&gt;0, "Seminar",
 IF(SUMPRODUCT(--(F50&gt;='Planung Abwesenheiten'!$A$4:$A$11),--(F50&lt;='Planung Abwesenheiten'!$B$4:$B$11))&gt;0, "Urlaub", ""))</f>
        <v/>
      </c>
      <c r="G51" s="169" t="s">
        <v>232</v>
      </c>
      <c r="H51" s="127" t="str" cm="1">
        <f t="array" ref="H51">IF(SUMPRODUCT(--(H50&gt;='Planung Abwesenheiten'!$A$23:$A$30),--(H50&lt;='Planung Abwesenheiten'!$B$23:$B$30))&gt;0, "Seminar",
 IF(SUMPRODUCT(--(H50&gt;='Planung Abwesenheiten'!$A$4:$A$11),--(H50&lt;='Planung Abwesenheiten'!$B$4:$B$11))&gt;0, "Urlaub", ""))</f>
        <v/>
      </c>
      <c r="I51" s="127" t="str" cm="1">
        <f t="array" ref="I51">IF(SUMPRODUCT(--(I50&gt;='Planung Abwesenheiten'!$A$23:$A$30),--(I50&lt;='Planung Abwesenheiten'!$B$23:$B$30))&gt;0, "Seminar",
 IF(SUMPRODUCT(--(I50&gt;='Planung Abwesenheiten'!$A$4:$A$11),--(I50&lt;='Planung Abwesenheiten'!$B$4:$B$11))&gt;0, "Urlaub", ""))</f>
        <v/>
      </c>
      <c r="J51" s="215"/>
      <c r="L51" s="204"/>
      <c r="M51" s="127" t="str" cm="1">
        <f t="array" ref="M51">IF(SUMPRODUCT(--(M50&gt;='Planung Abwesenheiten'!$A$23:$A$30),--(M50&lt;='Planung Abwesenheiten'!$B$23:$B$30))&gt;0, "Seminar",
 IF(SUMPRODUCT(--(M50&gt;='Planung Abwesenheiten'!$A$4:$A$11),--(M50&lt;='Planung Abwesenheiten'!$B$4:$B$11))&gt;0, "Urlaub", ""))</f>
        <v/>
      </c>
      <c r="N51" s="127" t="str" cm="1">
        <f t="array" ref="N51">IF(SUMPRODUCT(--(N50&gt;='Planung Abwesenheiten'!$A$23:$A$30),--(N50&lt;='Planung Abwesenheiten'!$B$23:$B$30))&gt;0, "Seminar",
 IF(SUMPRODUCT(--(N50&gt;='Planung Abwesenheiten'!$A$4:$A$11),--(N50&lt;='Planung Abwesenheiten'!$B$4:$B$11))&gt;0, "Urlaub", ""))</f>
        <v/>
      </c>
      <c r="O51" s="127" t="str" cm="1">
        <f t="array" ref="O51">IF(SUMPRODUCT(--(O50&gt;='Planung Abwesenheiten'!$A$23:$A$30),--(O50&lt;='Planung Abwesenheiten'!$B$23:$B$30))&gt;0, "Seminar",
 IF(SUMPRODUCT(--(O50&gt;='Planung Abwesenheiten'!$A$4:$A$11),--(O50&lt;='Planung Abwesenheiten'!$B$4:$B$11))&gt;0, "Urlaub", ""))</f>
        <v/>
      </c>
      <c r="P51" s="127" t="str" cm="1">
        <f t="array" ref="P51">IF(SUMPRODUCT(--(P50&gt;='Planung Abwesenheiten'!$A$23:$A$30),--(P50&lt;='Planung Abwesenheiten'!$B$23:$B$30))&gt;0, "Seminar",
 IF(SUMPRODUCT(--(P50&gt;='Planung Abwesenheiten'!$A$4:$A$11),--(P50&lt;='Planung Abwesenheiten'!$B$4:$B$11))&gt;0, "Urlaub", ""))</f>
        <v/>
      </c>
      <c r="Q51" s="127" t="str" cm="1">
        <f t="array" ref="Q51">IF(SUMPRODUCT(--(Q50&gt;='Planung Abwesenheiten'!$A$23:$A$30),--(Q50&lt;='Planung Abwesenheiten'!$B$23:$B$30))&gt;0, "Seminar",
 IF(SUMPRODUCT(--(Q50&gt;='Planung Abwesenheiten'!$A$4:$A$11),--(Q50&lt;='Planung Abwesenheiten'!$B$4:$B$11))&gt;0, "Urlaub", ""))</f>
        <v/>
      </c>
      <c r="R51" s="127" t="str" cm="1">
        <f t="array" ref="R51">IF(SUMPRODUCT(--(R50&gt;='Planung Abwesenheiten'!$A$23:$A$30),--(R50&lt;='Planung Abwesenheiten'!$B$23:$B$30))&gt;0, "Seminar",
 IF(SUMPRODUCT(--(R50&gt;='Planung Abwesenheiten'!$A$4:$A$11),--(R50&lt;='Planung Abwesenheiten'!$B$4:$B$11))&gt;0, "Urlaub", ""))</f>
        <v/>
      </c>
      <c r="S51" s="127" t="str" cm="1">
        <f t="array" ref="S51">IF(SUMPRODUCT(--(S50&gt;='Planung Abwesenheiten'!$A$23:$A$30),--(S50&lt;='Planung Abwesenheiten'!$B$23:$B$30))&gt;0, "Seminar",
 IF(SUMPRODUCT(--(S50&gt;='Planung Abwesenheiten'!$A$4:$A$11),--(S50&lt;='Planung Abwesenheiten'!$B$4:$B$11))&gt;0, "Urlaub", ""))</f>
        <v/>
      </c>
      <c r="T51" s="206"/>
    </row>
    <row r="52" spans="2:20" x14ac:dyDescent="0.25">
      <c r="J52" s="54">
        <f>SUM(J42:J50)</f>
        <v>8</v>
      </c>
      <c r="L52" s="203">
        <f>L50+1</f>
        <v>43</v>
      </c>
      <c r="M52" s="166">
        <f>DATE(Statistik!$D$1,1,-2)-WEEKDAY(DATE(Statistik!$D$1,1,3))+L52*7</f>
        <v>46314</v>
      </c>
      <c r="N52" s="167">
        <f t="shared" si="23"/>
        <v>46315</v>
      </c>
      <c r="O52" s="167">
        <f t="shared" si="23"/>
        <v>46316</v>
      </c>
      <c r="P52" s="167">
        <f t="shared" si="23"/>
        <v>46317</v>
      </c>
      <c r="Q52" s="167">
        <f t="shared" si="23"/>
        <v>46318</v>
      </c>
      <c r="R52" s="167">
        <f t="shared" si="23"/>
        <v>46319</v>
      </c>
      <c r="S52" s="167">
        <f t="shared" si="23"/>
        <v>46320</v>
      </c>
      <c r="T52" s="205">
        <f>COUNTIF(M53:S53,'pers. Daten'!$F$1)</f>
        <v>0</v>
      </c>
    </row>
    <row r="53" spans="2:20" ht="15.75" thickBot="1" x14ac:dyDescent="0.3">
      <c r="B53" t="s">
        <v>71</v>
      </c>
      <c r="L53" s="204"/>
      <c r="M53" s="127" t="str" cm="1">
        <f t="array" ref="M53">IF(SUMPRODUCT(--(M52&gt;='Planung Abwesenheiten'!$A$23:$A$30),--(M52&lt;='Planung Abwesenheiten'!$B$23:$B$30))&gt;0, "Seminar",
 IF(SUMPRODUCT(--(M52&gt;='Planung Abwesenheiten'!$A$4:$A$11),--(M52&lt;='Planung Abwesenheiten'!$B$4:$B$11))&gt;0, "Urlaub", ""))</f>
        <v/>
      </c>
      <c r="N53" s="127" t="str" cm="1">
        <f t="array" ref="N53">IF(SUMPRODUCT(--(N52&gt;='Planung Abwesenheiten'!$A$23:$A$30),--(N52&lt;='Planung Abwesenheiten'!$B$23:$B$30))&gt;0, "Seminar",
 IF(SUMPRODUCT(--(N52&gt;='Planung Abwesenheiten'!$A$4:$A$11),--(N52&lt;='Planung Abwesenheiten'!$B$4:$B$11))&gt;0, "Urlaub", ""))</f>
        <v/>
      </c>
      <c r="O53" s="127" t="str" cm="1">
        <f t="array" ref="O53">IF(SUMPRODUCT(--(O52&gt;='Planung Abwesenheiten'!$A$23:$A$30),--(O52&lt;='Planung Abwesenheiten'!$B$23:$B$30))&gt;0, "Seminar",
 IF(SUMPRODUCT(--(O52&gt;='Planung Abwesenheiten'!$A$4:$A$11),--(O52&lt;='Planung Abwesenheiten'!$B$4:$B$11))&gt;0, "Urlaub", ""))</f>
        <v/>
      </c>
      <c r="P53" s="127" t="str" cm="1">
        <f t="array" ref="P53">IF(SUMPRODUCT(--(P52&gt;='Planung Abwesenheiten'!$A$23:$A$30),--(P52&lt;='Planung Abwesenheiten'!$B$23:$B$30))&gt;0, "Seminar",
 IF(SUMPRODUCT(--(P52&gt;='Planung Abwesenheiten'!$A$4:$A$11),--(P52&lt;='Planung Abwesenheiten'!$B$4:$B$11))&gt;0, "Urlaub", ""))</f>
        <v/>
      </c>
      <c r="Q53" s="127" t="str" cm="1">
        <f t="array" ref="Q53">IF(SUMPRODUCT(--(Q52&gt;='Planung Abwesenheiten'!$A$23:$A$30),--(Q52&lt;='Planung Abwesenheiten'!$B$23:$B$30))&gt;0, "Seminar",
 IF(SUMPRODUCT(--(Q52&gt;='Planung Abwesenheiten'!$A$4:$A$11),--(Q52&lt;='Planung Abwesenheiten'!$B$4:$B$11))&gt;0, "Urlaub", ""))</f>
        <v/>
      </c>
      <c r="R53" s="127" t="str" cm="1">
        <f t="array" ref="R53">IF(SUMPRODUCT(--(R52&gt;='Planung Abwesenheiten'!$A$23:$A$30),--(R52&lt;='Planung Abwesenheiten'!$B$23:$B$30))&gt;0, "Seminar",
 IF(SUMPRODUCT(--(R52&gt;='Planung Abwesenheiten'!$A$4:$A$11),--(R52&lt;='Planung Abwesenheiten'!$B$4:$B$11))&gt;0, "Urlaub", ""))</f>
        <v/>
      </c>
      <c r="S53" s="127" t="str" cm="1">
        <f t="array" ref="S53">IF(SUMPRODUCT(--(S52&gt;='Planung Abwesenheiten'!$A$23:$A$30),--(S52&lt;='Planung Abwesenheiten'!$B$23:$B$30))&gt;0, "Seminar",
 IF(SUMPRODUCT(--(S52&gt;='Planung Abwesenheiten'!$A$4:$A$11),--(S52&lt;='Planung Abwesenheiten'!$B$4:$B$11))&gt;0, "Urlaub", ""))</f>
        <v/>
      </c>
      <c r="T53" s="206"/>
    </row>
    <row r="54" spans="2:20" ht="15.75" thickBot="1" x14ac:dyDescent="0.3">
      <c r="B54" s="53" t="s">
        <v>40</v>
      </c>
      <c r="C54" s="147" t="s">
        <v>60</v>
      </c>
      <c r="D54" s="147" t="s">
        <v>61</v>
      </c>
      <c r="E54" s="147" t="s">
        <v>62</v>
      </c>
      <c r="F54" s="147" t="s">
        <v>63</v>
      </c>
      <c r="G54" s="147" t="s">
        <v>64</v>
      </c>
      <c r="H54" s="147" t="s">
        <v>65</v>
      </c>
      <c r="I54" s="147" t="s">
        <v>66</v>
      </c>
      <c r="J54" s="53" t="s">
        <v>32</v>
      </c>
      <c r="L54" s="203">
        <f>L52+1</f>
        <v>44</v>
      </c>
      <c r="M54" s="166">
        <f>DATE(Statistik!$D$1,1,-2)-WEEKDAY(DATE(Statistik!$D$1,1,3))+L54*7</f>
        <v>46321</v>
      </c>
      <c r="N54" s="167">
        <f t="shared" si="23"/>
        <v>46322</v>
      </c>
      <c r="O54" s="167">
        <f t="shared" si="23"/>
        <v>46323</v>
      </c>
      <c r="P54" s="167">
        <f t="shared" si="23"/>
        <v>46324</v>
      </c>
      <c r="Q54" s="167">
        <f t="shared" si="23"/>
        <v>46325</v>
      </c>
      <c r="R54" s="167">
        <f t="shared" si="23"/>
        <v>46326</v>
      </c>
      <c r="S54" s="167">
        <f t="shared" si="23"/>
        <v>46327</v>
      </c>
      <c r="T54" s="205">
        <f>COUNTIF(M55:S55,'pers. Daten'!$F$1)</f>
        <v>0</v>
      </c>
    </row>
    <row r="55" spans="2:20" ht="15.75" thickBot="1" x14ac:dyDescent="0.3">
      <c r="B55" s="216">
        <v>18</v>
      </c>
      <c r="C55" s="63">
        <f>DATE(Statistik!$D$1,1,-2)-WEEKDAY(DATE(Statistik!$D$1,1,3))+B55*7</f>
        <v>46139</v>
      </c>
      <c r="D55" s="63">
        <f t="shared" ref="D55:I55" si="24">C55+1</f>
        <v>46140</v>
      </c>
      <c r="E55" s="63">
        <f t="shared" si="24"/>
        <v>46141</v>
      </c>
      <c r="F55" s="63">
        <f t="shared" si="24"/>
        <v>46142</v>
      </c>
      <c r="G55" s="63">
        <f t="shared" si="24"/>
        <v>46143</v>
      </c>
      <c r="H55" s="63">
        <f t="shared" si="24"/>
        <v>46144</v>
      </c>
      <c r="I55" s="63">
        <f t="shared" si="24"/>
        <v>46145</v>
      </c>
      <c r="J55" s="214">
        <f>COUNTIF(C56:I56,'pers. Daten'!$F$1)</f>
        <v>0</v>
      </c>
      <c r="L55" s="204"/>
      <c r="M55" s="127" t="str" cm="1">
        <f t="array" ref="M55">IF(SUMPRODUCT(--(M54&gt;='Planung Abwesenheiten'!$A$23:$A$30),--(M54&lt;='Planung Abwesenheiten'!$B$23:$B$30))&gt;0, "Seminar",
 IF(SUMPRODUCT(--(M54&gt;='Planung Abwesenheiten'!$A$4:$A$11),--(M54&lt;='Planung Abwesenheiten'!$B$4:$B$11))&gt;0, "Urlaub", ""))</f>
        <v/>
      </c>
      <c r="N55" s="127" t="str" cm="1">
        <f t="array" ref="N55">IF(SUMPRODUCT(--(N54&gt;='Planung Abwesenheiten'!$A$23:$A$30),--(N54&lt;='Planung Abwesenheiten'!$B$23:$B$30))&gt;0, "Seminar",
 IF(SUMPRODUCT(--(N54&gt;='Planung Abwesenheiten'!$A$4:$A$11),--(N54&lt;='Planung Abwesenheiten'!$B$4:$B$11))&gt;0, "Urlaub", ""))</f>
        <v/>
      </c>
      <c r="O55" s="127" t="str" cm="1">
        <f t="array" ref="O55">IF(SUMPRODUCT(--(O54&gt;='Planung Abwesenheiten'!$A$23:$A$30),--(O54&lt;='Planung Abwesenheiten'!$B$23:$B$30))&gt;0, "Seminar",
 IF(SUMPRODUCT(--(O54&gt;='Planung Abwesenheiten'!$A$4:$A$11),--(O54&lt;='Planung Abwesenheiten'!$B$4:$B$11))&gt;0, "Urlaub", ""))</f>
        <v/>
      </c>
      <c r="P55" s="127" t="str" cm="1">
        <f t="array" ref="P55">IF(SUMPRODUCT(--(P54&gt;='Planung Abwesenheiten'!$A$23:$A$30),--(P54&lt;='Planung Abwesenheiten'!$B$23:$B$30))&gt;0, "Seminar",
 IF(SUMPRODUCT(--(P54&gt;='Planung Abwesenheiten'!$A$4:$A$11),--(P54&lt;='Planung Abwesenheiten'!$B$4:$B$11))&gt;0, "Urlaub", ""))</f>
        <v/>
      </c>
      <c r="Q55" s="127" t="str" cm="1">
        <f t="array" ref="Q55">IF(SUMPRODUCT(--(Q54&gt;='Planung Abwesenheiten'!$A$23:$A$30),--(Q54&lt;='Planung Abwesenheiten'!$B$23:$B$30))&gt;0, "Seminar",
 IF(SUMPRODUCT(--(Q54&gt;='Planung Abwesenheiten'!$A$4:$A$11),--(Q54&lt;='Planung Abwesenheiten'!$B$4:$B$11))&gt;0, "Urlaub", ""))</f>
        <v/>
      </c>
      <c r="R55" s="127" t="str" cm="1">
        <f t="array" ref="R55">IF(SUMPRODUCT(--(R54&gt;='Planung Abwesenheiten'!$A$23:$A$30),--(R54&lt;='Planung Abwesenheiten'!$B$23:$B$30))&gt;0, "Seminar",
 IF(SUMPRODUCT(--(R54&gt;='Planung Abwesenheiten'!$A$4:$A$11),--(R54&lt;='Planung Abwesenheiten'!$B$4:$B$11))&gt;0, "Urlaub", ""))</f>
        <v/>
      </c>
      <c r="S55" s="169" t="s">
        <v>237</v>
      </c>
      <c r="T55" s="206"/>
    </row>
    <row r="56" spans="2:20" ht="15.75" thickBot="1" x14ac:dyDescent="0.3">
      <c r="B56" s="217"/>
      <c r="C56" s="127" t="str" cm="1">
        <f t="array" ref="C56">IF(SUMPRODUCT(--(C55&gt;='Planung Abwesenheiten'!$A$23:$A$30),--(C55&lt;='Planung Abwesenheiten'!$B$23:$B$30))&gt;0, "Seminar",
 IF(SUMPRODUCT(--(C55&gt;='Planung Abwesenheiten'!$A$4:$A$11),--(C55&lt;='Planung Abwesenheiten'!$B$4:$B$11))&gt;0, "Urlaub", ""))</f>
        <v/>
      </c>
      <c r="D56" s="127" t="str" cm="1">
        <f t="array" ref="D56">IF(SUMPRODUCT(--(D55&gt;='Planung Abwesenheiten'!$A$23:$A$30),--(D55&lt;='Planung Abwesenheiten'!$B$23:$B$30))&gt;0, "Seminar",
 IF(SUMPRODUCT(--(D55&gt;='Planung Abwesenheiten'!$A$4:$A$11),--(D55&lt;='Planung Abwesenheiten'!$B$4:$B$11))&gt;0, "Urlaub", ""))</f>
        <v/>
      </c>
      <c r="E56" s="127" t="str" cm="1">
        <f t="array" ref="E56">IF(SUMPRODUCT(--(E55&gt;='Planung Abwesenheiten'!$A$23:$A$30),--(E55&lt;='Planung Abwesenheiten'!$B$23:$B$30))&gt;0, "Seminar",
 IF(SUMPRODUCT(--(E55&gt;='Planung Abwesenheiten'!$A$4:$A$11),--(E55&lt;='Planung Abwesenheiten'!$B$4:$B$11))&gt;0, "Urlaub", ""))</f>
        <v/>
      </c>
      <c r="F56" s="127" t="str" cm="1">
        <f t="array" ref="F56">IF(SUMPRODUCT(--(F55&gt;='Planung Abwesenheiten'!$A$23:$A$30),--(F55&lt;='Planung Abwesenheiten'!$B$23:$B$30))&gt;0, "Seminar",
 IF(SUMPRODUCT(--(F55&gt;='Planung Abwesenheiten'!$A$4:$A$11),--(F55&lt;='Planung Abwesenheiten'!$B$4:$B$11))&gt;0, "Urlaub", ""))</f>
        <v/>
      </c>
      <c r="G56" s="169" t="s">
        <v>232</v>
      </c>
      <c r="H56" s="127" t="str" cm="1">
        <f t="array" ref="H56">IF(SUMPRODUCT(--(H55&gt;='Planung Abwesenheiten'!$A$23:$A$30),--(H55&lt;='Planung Abwesenheiten'!$B$23:$B$30))&gt;0, "Seminar",
 IF(SUMPRODUCT(--(H55&gt;='Planung Abwesenheiten'!$A$4:$A$11),--(H55&lt;='Planung Abwesenheiten'!$B$4:$B$11))&gt;0, "Urlaub", ""))</f>
        <v/>
      </c>
      <c r="I56" s="127" t="str" cm="1">
        <f t="array" ref="I56">IF(SUMPRODUCT(--(I55&gt;='Planung Abwesenheiten'!$A$23:$A$30),--(I55&lt;='Planung Abwesenheiten'!$B$23:$B$30))&gt;0, "Seminar",
 IF(SUMPRODUCT(--(I55&gt;='Planung Abwesenheiten'!$A$4:$A$11),--(I55&lt;='Planung Abwesenheiten'!$B$4:$B$11))&gt;0, "Urlaub", ""))</f>
        <v/>
      </c>
      <c r="J56" s="215"/>
      <c r="T56" s="54">
        <f>SUM(T46:T54)</f>
        <v>0</v>
      </c>
    </row>
    <row r="57" spans="2:20" x14ac:dyDescent="0.25">
      <c r="B57" s="216">
        <f>B55+1</f>
        <v>19</v>
      </c>
      <c r="C57" s="63">
        <f>DATE(Statistik!$D$1,1,-2)-WEEKDAY(DATE(Statistik!$D$1,1,3))+B57*7</f>
        <v>46146</v>
      </c>
      <c r="D57" s="65">
        <f t="shared" ref="D57:I63" si="25">D55+7</f>
        <v>46147</v>
      </c>
      <c r="E57" s="65">
        <f t="shared" si="25"/>
        <v>46148</v>
      </c>
      <c r="F57" s="65">
        <f t="shared" si="25"/>
        <v>46149</v>
      </c>
      <c r="G57" s="65">
        <f t="shared" si="25"/>
        <v>46150</v>
      </c>
      <c r="H57" s="65">
        <f t="shared" si="25"/>
        <v>46151</v>
      </c>
      <c r="I57" s="65">
        <f t="shared" si="25"/>
        <v>46152</v>
      </c>
      <c r="J57" s="214">
        <f>COUNTIF(C58:I58,'pers. Daten'!$F$1)</f>
        <v>0</v>
      </c>
      <c r="L57" t="s">
        <v>77</v>
      </c>
    </row>
    <row r="58" spans="2:20" ht="15.75" thickBot="1" x14ac:dyDescent="0.3">
      <c r="B58" s="217"/>
      <c r="C58" s="127" t="str" cm="1">
        <f t="array" ref="C58">IF(SUMPRODUCT(--(C57&gt;='Planung Abwesenheiten'!$A$23:$A$30),--(C57&lt;='Planung Abwesenheiten'!$B$23:$B$30))&gt;0, "Seminar",
 IF(SUMPRODUCT(--(C57&gt;='Planung Abwesenheiten'!$A$4:$A$11),--(C57&lt;='Planung Abwesenheiten'!$B$4:$B$11))&gt;0, "Urlaub", ""))</f>
        <v>Urlaub</v>
      </c>
      <c r="D58" s="127" t="str" cm="1">
        <f t="array" ref="D58">IF(SUMPRODUCT(--(D57&gt;='Planung Abwesenheiten'!$A$23:$A$30),--(D57&lt;='Planung Abwesenheiten'!$B$23:$B$30))&gt;0, "Seminar",
 IF(SUMPRODUCT(--(D57&gt;='Planung Abwesenheiten'!$A$4:$A$11),--(D57&lt;='Planung Abwesenheiten'!$B$4:$B$11))&gt;0, "Urlaub", ""))</f>
        <v>Urlaub</v>
      </c>
      <c r="E58" s="127" t="str" cm="1">
        <f t="array" ref="E58">IF(SUMPRODUCT(--(E57&gt;='Planung Abwesenheiten'!$A$23:$A$30),--(E57&lt;='Planung Abwesenheiten'!$B$23:$B$30))&gt;0, "Seminar",
 IF(SUMPRODUCT(--(E57&gt;='Planung Abwesenheiten'!$A$4:$A$11),--(E57&lt;='Planung Abwesenheiten'!$B$4:$B$11))&gt;0, "Urlaub", ""))</f>
        <v>Urlaub</v>
      </c>
      <c r="F58" s="127" t="str" cm="1">
        <f t="array" ref="F58">IF(SUMPRODUCT(--(F57&gt;='Planung Abwesenheiten'!$A$23:$A$30),--(F57&lt;='Planung Abwesenheiten'!$B$23:$B$30))&gt;0, "Seminar",
 IF(SUMPRODUCT(--(F57&gt;='Planung Abwesenheiten'!$A$4:$A$11),--(F57&lt;='Planung Abwesenheiten'!$B$4:$B$11))&gt;0, "Urlaub", ""))</f>
        <v>Urlaub</v>
      </c>
      <c r="G58" s="127" t="str" cm="1">
        <f t="array" ref="G58">IF(SUMPRODUCT(--(G57&gt;='Planung Abwesenheiten'!$A$23:$A$30),--(G57&lt;='Planung Abwesenheiten'!$B$23:$B$30))&gt;0, "Seminar",
 IF(SUMPRODUCT(--(G57&gt;='Planung Abwesenheiten'!$A$4:$A$11),--(G57&lt;='Planung Abwesenheiten'!$B$4:$B$11))&gt;0, "Urlaub", ""))</f>
        <v>Urlaub</v>
      </c>
      <c r="H58" s="127" t="str" cm="1">
        <f t="array" ref="H58">IF(SUMPRODUCT(--(H57&gt;='Planung Abwesenheiten'!$A$23:$A$30),--(H57&lt;='Planung Abwesenheiten'!$B$23:$B$30))&gt;0, "Seminar",
 IF(SUMPRODUCT(--(H57&gt;='Planung Abwesenheiten'!$A$4:$A$11),--(H57&lt;='Planung Abwesenheiten'!$B$4:$B$11))&gt;0, "Urlaub", ""))</f>
        <v/>
      </c>
      <c r="I58" s="127" t="str" cm="1">
        <f t="array" ref="I58">IF(SUMPRODUCT(--(I57&gt;='Planung Abwesenheiten'!$A$23:$A$30),--(I57&lt;='Planung Abwesenheiten'!$B$23:$B$30))&gt;0, "Seminar",
 IF(SUMPRODUCT(--(I57&gt;='Planung Abwesenheiten'!$A$4:$A$11),--(I57&lt;='Planung Abwesenheiten'!$B$4:$B$11))&gt;0, "Urlaub", ""))</f>
        <v/>
      </c>
      <c r="J58" s="215"/>
      <c r="L58" s="53" t="s">
        <v>40</v>
      </c>
      <c r="M58" s="147" t="s">
        <v>60</v>
      </c>
      <c r="N58" s="147" t="s">
        <v>61</v>
      </c>
      <c r="O58" s="147" t="s">
        <v>62</v>
      </c>
      <c r="P58" s="147" t="s">
        <v>63</v>
      </c>
      <c r="Q58" s="147" t="s">
        <v>64</v>
      </c>
      <c r="R58" s="147" t="s">
        <v>65</v>
      </c>
      <c r="S58" s="147" t="s">
        <v>66</v>
      </c>
      <c r="T58" s="53" t="s">
        <v>32</v>
      </c>
    </row>
    <row r="59" spans="2:20" x14ac:dyDescent="0.25">
      <c r="B59" s="216">
        <f>B57+1</f>
        <v>20</v>
      </c>
      <c r="C59" s="63">
        <f>DATE(Statistik!$D$1,1,-2)-WEEKDAY(DATE(Statistik!$D$1,1,3))+B59*7</f>
        <v>46153</v>
      </c>
      <c r="D59" s="65">
        <f t="shared" si="25"/>
        <v>46154</v>
      </c>
      <c r="E59" s="65">
        <f t="shared" si="25"/>
        <v>46155</v>
      </c>
      <c r="F59" s="65">
        <f t="shared" si="25"/>
        <v>46156</v>
      </c>
      <c r="G59" s="65">
        <f t="shared" si="25"/>
        <v>46157</v>
      </c>
      <c r="H59" s="65">
        <f t="shared" si="25"/>
        <v>46158</v>
      </c>
      <c r="I59" s="65">
        <f t="shared" si="25"/>
        <v>46159</v>
      </c>
      <c r="J59" s="214">
        <f>COUNTIF(C60:I60,'pers. Daten'!$F$1)</f>
        <v>1</v>
      </c>
      <c r="L59" s="203">
        <v>44</v>
      </c>
      <c r="M59" s="63">
        <f>DATE(Statistik!$D$1,1,-2)-WEEKDAY(DATE(Statistik!$D$1,1,3))+L59*7</f>
        <v>46321</v>
      </c>
      <c r="N59" s="63">
        <f t="shared" ref="N59:S59" si="26">N54</f>
        <v>46322</v>
      </c>
      <c r="O59" s="63">
        <f t="shared" si="26"/>
        <v>46323</v>
      </c>
      <c r="P59" s="63">
        <f t="shared" si="26"/>
        <v>46324</v>
      </c>
      <c r="Q59" s="63">
        <f t="shared" si="26"/>
        <v>46325</v>
      </c>
      <c r="R59" s="63">
        <f t="shared" si="26"/>
        <v>46326</v>
      </c>
      <c r="S59" s="63">
        <f t="shared" si="26"/>
        <v>46327</v>
      </c>
      <c r="T59" s="205">
        <f>COUNTIF(M60:S60,'pers. Daten'!$F$1)</f>
        <v>0</v>
      </c>
    </row>
    <row r="60" spans="2:20" ht="15.75" thickBot="1" x14ac:dyDescent="0.3">
      <c r="B60" s="217"/>
      <c r="C60" s="127" t="str" cm="1">
        <f t="array" ref="C60">IF(SUMPRODUCT(--(C59&gt;='Planung Abwesenheiten'!$A$23:$A$30),--(C59&lt;='Planung Abwesenheiten'!$B$23:$B$30))&gt;0, "Seminar",
 IF(SUMPRODUCT(--(C59&gt;='Planung Abwesenheiten'!$A$4:$A$11),--(C59&lt;='Planung Abwesenheiten'!$B$4:$B$11))&gt;0, "Urlaub", ""))</f>
        <v/>
      </c>
      <c r="D60" s="127" t="s">
        <v>22</v>
      </c>
      <c r="E60" s="127"/>
      <c r="F60" s="169" t="s">
        <v>233</v>
      </c>
      <c r="G60" s="127" t="str" cm="1">
        <f t="array" ref="G60">IF(SUMPRODUCT(--(G59&gt;='Planung Abwesenheiten'!$A$23:$A$30),--(G59&lt;='Planung Abwesenheiten'!$B$23:$B$30))&gt;0, "Seminar",
 IF(SUMPRODUCT(--(G59&gt;='Planung Abwesenheiten'!$A$4:$A$11),--(G59&lt;='Planung Abwesenheiten'!$B$4:$B$11))&gt;0, "Urlaub", ""))</f>
        <v/>
      </c>
      <c r="H60" s="127" t="str" cm="1">
        <f t="array" ref="H60">IF(SUMPRODUCT(--(H59&gt;='Planung Abwesenheiten'!$A$23:$A$30),--(H59&lt;='Planung Abwesenheiten'!$B$23:$B$30))&gt;0, "Seminar",
 IF(SUMPRODUCT(--(H59&gt;='Planung Abwesenheiten'!$A$4:$A$11),--(H59&lt;='Planung Abwesenheiten'!$B$4:$B$11))&gt;0, "Urlaub", ""))</f>
        <v/>
      </c>
      <c r="I60" s="127" t="str" cm="1">
        <f t="array" ref="I60">IF(SUMPRODUCT(--(I59&gt;='Planung Abwesenheiten'!$A$23:$A$30),--(I59&lt;='Planung Abwesenheiten'!$B$23:$B$30))&gt;0, "Seminar",
 IF(SUMPRODUCT(--(I59&gt;='Planung Abwesenheiten'!$A$4:$A$11),--(I59&lt;='Planung Abwesenheiten'!$B$4:$B$11))&gt;0, "Urlaub", ""))</f>
        <v/>
      </c>
      <c r="J60" s="215"/>
      <c r="L60" s="204"/>
      <c r="M60" s="127" t="str" cm="1">
        <f t="array" ref="M60">IF(SUMPRODUCT(--(M59&gt;='Planung Abwesenheiten'!$A$23:$A$30),--(M59&lt;='Planung Abwesenheiten'!$B$23:$B$30))&gt;0, "Seminar",
 IF(SUMPRODUCT(--(M59&gt;='Planung Abwesenheiten'!$A$4:$A$11),--(M59&lt;='Planung Abwesenheiten'!$B$4:$B$11))&gt;0, "Urlaub", ""))</f>
        <v/>
      </c>
      <c r="N60" s="127" t="str" cm="1">
        <f t="array" ref="N60">IF(SUMPRODUCT(--(N59&gt;='Planung Abwesenheiten'!$A$23:$A$30),--(N59&lt;='Planung Abwesenheiten'!$B$23:$B$30))&gt;0, "Seminar",
 IF(SUMPRODUCT(--(N59&gt;='Planung Abwesenheiten'!$A$4:$A$11),--(N59&lt;='Planung Abwesenheiten'!$B$4:$B$11))&gt;0, "Urlaub", ""))</f>
        <v/>
      </c>
      <c r="O60" s="127" t="str" cm="1">
        <f t="array" ref="O60">IF(SUMPRODUCT(--(O59&gt;='Planung Abwesenheiten'!$A$23:$A$30),--(O59&lt;='Planung Abwesenheiten'!$B$23:$B$30))&gt;0, "Seminar",
 IF(SUMPRODUCT(--(O59&gt;='Planung Abwesenheiten'!$A$4:$A$11),--(O59&lt;='Planung Abwesenheiten'!$B$4:$B$11))&gt;0, "Urlaub", ""))</f>
        <v/>
      </c>
      <c r="P60" s="127" t="str" cm="1">
        <f t="array" ref="P60">IF(SUMPRODUCT(--(P59&gt;='Planung Abwesenheiten'!$A$23:$A$30),--(P59&lt;='Planung Abwesenheiten'!$B$23:$B$30))&gt;0, "Seminar",
 IF(SUMPRODUCT(--(P59&gt;='Planung Abwesenheiten'!$A$4:$A$11),--(P59&lt;='Planung Abwesenheiten'!$B$4:$B$11))&gt;0, "Urlaub", ""))</f>
        <v/>
      </c>
      <c r="Q60" s="127" t="str" cm="1">
        <f t="array" ref="Q60">IF(SUMPRODUCT(--(Q59&gt;='Planung Abwesenheiten'!$A$23:$A$30),--(Q59&lt;='Planung Abwesenheiten'!$B$23:$B$30))&gt;0, "Seminar",
 IF(SUMPRODUCT(--(Q59&gt;='Planung Abwesenheiten'!$A$4:$A$11),--(Q59&lt;='Planung Abwesenheiten'!$B$4:$B$11))&gt;0, "Urlaub", ""))</f>
        <v/>
      </c>
      <c r="R60" s="127" t="str" cm="1">
        <f t="array" ref="R60">IF(SUMPRODUCT(--(R59&gt;='Planung Abwesenheiten'!$A$23:$A$30),--(R59&lt;='Planung Abwesenheiten'!$B$23:$B$30))&gt;0, "Seminar",
 IF(SUMPRODUCT(--(R59&gt;='Planung Abwesenheiten'!$A$4:$A$11),--(R59&lt;='Planung Abwesenheiten'!$B$4:$B$11))&gt;0, "Urlaub", ""))</f>
        <v/>
      </c>
      <c r="S60" s="169" t="s">
        <v>237</v>
      </c>
      <c r="T60" s="206"/>
    </row>
    <row r="61" spans="2:20" x14ac:dyDescent="0.25">
      <c r="B61" s="216">
        <f>B59+1</f>
        <v>21</v>
      </c>
      <c r="C61" s="63">
        <f>DATE(Statistik!$D$1,1,-2)-WEEKDAY(DATE(Statistik!$D$1,1,3))+B61*7</f>
        <v>46160</v>
      </c>
      <c r="D61" s="65">
        <f t="shared" si="25"/>
        <v>46161</v>
      </c>
      <c r="E61" s="65">
        <f t="shared" si="25"/>
        <v>46162</v>
      </c>
      <c r="F61" s="65">
        <f t="shared" si="25"/>
        <v>46163</v>
      </c>
      <c r="G61" s="65">
        <f t="shared" si="25"/>
        <v>46164</v>
      </c>
      <c r="H61" s="65">
        <f t="shared" si="25"/>
        <v>46165</v>
      </c>
      <c r="I61" s="65">
        <f t="shared" si="25"/>
        <v>46166</v>
      </c>
      <c r="J61" s="214">
        <f>COUNTIF(C62:I62,'pers. Daten'!$F$1)</f>
        <v>2</v>
      </c>
      <c r="L61" s="203">
        <f>L59+1</f>
        <v>45</v>
      </c>
      <c r="M61" s="63">
        <f>DATE(Statistik!$D$1,1,-2)-WEEKDAY(DATE(Statistik!$D$1,1,3))+L61*7</f>
        <v>46328</v>
      </c>
      <c r="N61" s="65">
        <f t="shared" ref="N61:S67" si="27">N59+7</f>
        <v>46329</v>
      </c>
      <c r="O61" s="65">
        <f t="shared" si="27"/>
        <v>46330</v>
      </c>
      <c r="P61" s="65">
        <f t="shared" si="27"/>
        <v>46331</v>
      </c>
      <c r="Q61" s="65">
        <f t="shared" si="27"/>
        <v>46332</v>
      </c>
      <c r="R61" s="65">
        <f t="shared" si="27"/>
        <v>46333</v>
      </c>
      <c r="S61" s="65">
        <f t="shared" si="27"/>
        <v>46334</v>
      </c>
      <c r="T61" s="205">
        <f>COUNTIF(M62:S62,'pers. Daten'!$F$1)</f>
        <v>0</v>
      </c>
    </row>
    <row r="62" spans="2:20" ht="15.75" thickBot="1" x14ac:dyDescent="0.3">
      <c r="B62" s="217"/>
      <c r="C62" s="127" t="str" cm="1">
        <f t="array" ref="C62">IF(SUMPRODUCT(--(C61&gt;='Planung Abwesenheiten'!$A$23:$A$30),--(C61&lt;='Planung Abwesenheiten'!$B$23:$B$30))&gt;0, "Seminar",
 IF(SUMPRODUCT(--(C61&gt;='Planung Abwesenheiten'!$A$4:$A$11),--(C61&lt;='Planung Abwesenheiten'!$B$4:$B$11))&gt;0, "Urlaub", ""))</f>
        <v/>
      </c>
      <c r="D62" s="127" t="s">
        <v>22</v>
      </c>
      <c r="E62" s="127"/>
      <c r="F62" s="127" t="s">
        <v>22</v>
      </c>
      <c r="G62" s="127" t="str" cm="1">
        <f t="array" ref="G62">IF(SUMPRODUCT(--(G61&gt;='Planung Abwesenheiten'!$A$23:$A$30),--(G61&lt;='Planung Abwesenheiten'!$B$23:$B$30))&gt;0, "Seminar",
 IF(SUMPRODUCT(--(G61&gt;='Planung Abwesenheiten'!$A$4:$A$11),--(G61&lt;='Planung Abwesenheiten'!$B$4:$B$11))&gt;0, "Urlaub", ""))</f>
        <v/>
      </c>
      <c r="H62" s="127" t="str" cm="1">
        <f t="array" ref="H62">IF(SUMPRODUCT(--(H61&gt;='Planung Abwesenheiten'!$A$23:$A$30),--(H61&lt;='Planung Abwesenheiten'!$B$23:$B$30))&gt;0, "Seminar",
 IF(SUMPRODUCT(--(H61&gt;='Planung Abwesenheiten'!$A$4:$A$11),--(H61&lt;='Planung Abwesenheiten'!$B$4:$B$11))&gt;0, "Urlaub", ""))</f>
        <v/>
      </c>
      <c r="I62" s="127" t="str" cm="1">
        <f t="array" ref="I62">IF(SUMPRODUCT(--(I61&gt;='Planung Abwesenheiten'!$A$23:$A$30),--(I61&lt;='Planung Abwesenheiten'!$B$23:$B$30))&gt;0, "Seminar",
 IF(SUMPRODUCT(--(I61&gt;='Planung Abwesenheiten'!$A$4:$A$11),--(I61&lt;='Planung Abwesenheiten'!$B$4:$B$11))&gt;0, "Urlaub", ""))</f>
        <v/>
      </c>
      <c r="J62" s="215"/>
      <c r="L62" s="204"/>
      <c r="M62" s="127" t="str" cm="1">
        <f t="array" ref="M62">IF(SUMPRODUCT(--(M61&gt;='Planung Abwesenheiten'!$A$23:$A$30),--(M61&lt;='Planung Abwesenheiten'!$B$23:$B$30))&gt;0, "Seminar",
 IF(SUMPRODUCT(--(M61&gt;='Planung Abwesenheiten'!$A$4:$A$11),--(M61&lt;='Planung Abwesenheiten'!$B$4:$B$11))&gt;0, "Urlaub", ""))</f>
        <v/>
      </c>
      <c r="N62" s="127" t="str" cm="1">
        <f t="array" ref="N62">IF(SUMPRODUCT(--(N61&gt;='Planung Abwesenheiten'!$A$23:$A$30),--(N61&lt;='Planung Abwesenheiten'!$B$23:$B$30))&gt;0, "Seminar",
 IF(SUMPRODUCT(--(N61&gt;='Planung Abwesenheiten'!$A$4:$A$11),--(N61&lt;='Planung Abwesenheiten'!$B$4:$B$11))&gt;0, "Urlaub", ""))</f>
        <v/>
      </c>
      <c r="O62" s="127" t="str" cm="1">
        <f t="array" ref="O62">IF(SUMPRODUCT(--(O61&gt;='Planung Abwesenheiten'!$A$23:$A$30),--(O61&lt;='Planung Abwesenheiten'!$B$23:$B$30))&gt;0, "Seminar",
 IF(SUMPRODUCT(--(O61&gt;='Planung Abwesenheiten'!$A$4:$A$11),--(O61&lt;='Planung Abwesenheiten'!$B$4:$B$11))&gt;0, "Urlaub", ""))</f>
        <v/>
      </c>
      <c r="P62" s="127" t="str" cm="1">
        <f t="array" ref="P62">IF(SUMPRODUCT(--(P61&gt;='Planung Abwesenheiten'!$A$23:$A$30),--(P61&lt;='Planung Abwesenheiten'!$B$23:$B$30))&gt;0, "Seminar",
 IF(SUMPRODUCT(--(P61&gt;='Planung Abwesenheiten'!$A$4:$A$11),--(P61&lt;='Planung Abwesenheiten'!$B$4:$B$11))&gt;0, "Urlaub", ""))</f>
        <v/>
      </c>
      <c r="Q62" s="127" t="str" cm="1">
        <f t="array" ref="Q62">IF(SUMPRODUCT(--(Q61&gt;='Planung Abwesenheiten'!$A$23:$A$30),--(Q61&lt;='Planung Abwesenheiten'!$B$23:$B$30))&gt;0, "Seminar",
 IF(SUMPRODUCT(--(Q61&gt;='Planung Abwesenheiten'!$A$4:$A$11),--(Q61&lt;='Planung Abwesenheiten'!$B$4:$B$11))&gt;0, "Urlaub", ""))</f>
        <v/>
      </c>
      <c r="R62" s="127" t="str" cm="1">
        <f t="array" ref="R62">IF(SUMPRODUCT(--(R61&gt;='Planung Abwesenheiten'!$A$23:$A$30),--(R61&lt;='Planung Abwesenheiten'!$B$23:$B$30))&gt;0, "Seminar",
 IF(SUMPRODUCT(--(R61&gt;='Planung Abwesenheiten'!$A$4:$A$11),--(R61&lt;='Planung Abwesenheiten'!$B$4:$B$11))&gt;0, "Urlaub", ""))</f>
        <v/>
      </c>
      <c r="S62" s="127" t="str" cm="1">
        <f t="array" ref="S62">IF(SUMPRODUCT(--(S61&gt;='Planung Abwesenheiten'!$A$23:$A$30),--(S61&lt;='Planung Abwesenheiten'!$B$23:$B$30))&gt;0, "Seminar",
 IF(SUMPRODUCT(--(S61&gt;='Planung Abwesenheiten'!$A$4:$A$11),--(S61&lt;='Planung Abwesenheiten'!$B$4:$B$11))&gt;0, "Urlaub", ""))</f>
        <v/>
      </c>
      <c r="T62" s="206"/>
    </row>
    <row r="63" spans="2:20" x14ac:dyDescent="0.25">
      <c r="B63" s="216">
        <f>B61+1</f>
        <v>22</v>
      </c>
      <c r="C63" s="63">
        <f>DATE(Statistik!$D$1,1,-2)-WEEKDAY(DATE(Statistik!$D$1,1,3))+B63*7</f>
        <v>46167</v>
      </c>
      <c r="D63" s="65">
        <f t="shared" si="25"/>
        <v>46168</v>
      </c>
      <c r="E63" s="65">
        <f t="shared" si="25"/>
        <v>46169</v>
      </c>
      <c r="F63" s="65">
        <f t="shared" si="25"/>
        <v>46170</v>
      </c>
      <c r="G63" s="65">
        <f t="shared" si="25"/>
        <v>46171</v>
      </c>
      <c r="H63" s="65">
        <f t="shared" si="25"/>
        <v>46172</v>
      </c>
      <c r="I63" s="65">
        <f t="shared" si="25"/>
        <v>46173</v>
      </c>
      <c r="J63" s="214">
        <f>COUNTIF(C64:I64,'pers. Daten'!$F$1)</f>
        <v>1</v>
      </c>
      <c r="L63" s="203">
        <f>L61+1</f>
        <v>46</v>
      </c>
      <c r="M63" s="63">
        <f>DATE(Statistik!$D$1,1,-2)-WEEKDAY(DATE(Statistik!$D$1,1,3))+L63*7</f>
        <v>46335</v>
      </c>
      <c r="N63" s="65">
        <f t="shared" si="27"/>
        <v>46336</v>
      </c>
      <c r="O63" s="65">
        <f t="shared" si="27"/>
        <v>46337</v>
      </c>
      <c r="P63" s="65">
        <f t="shared" si="27"/>
        <v>46338</v>
      </c>
      <c r="Q63" s="65">
        <f t="shared" si="27"/>
        <v>46339</v>
      </c>
      <c r="R63" s="65">
        <f t="shared" si="27"/>
        <v>46340</v>
      </c>
      <c r="S63" s="65">
        <f t="shared" si="27"/>
        <v>46341</v>
      </c>
      <c r="T63" s="205">
        <f>COUNTIF(M64:S64,'pers. Daten'!$F$1)</f>
        <v>0</v>
      </c>
    </row>
    <row r="64" spans="2:20" ht="15.75" thickBot="1" x14ac:dyDescent="0.3">
      <c r="B64" s="217"/>
      <c r="C64" s="169" t="s">
        <v>234</v>
      </c>
      <c r="D64" s="127" t="str" cm="1">
        <f t="array" ref="D64">IF(SUMPRODUCT(--(D63&gt;='Planung Abwesenheiten'!$A$23:$A$30),--(D63&lt;='Planung Abwesenheiten'!$B$23:$B$30))&gt;0, "Seminar",
 IF(SUMPRODUCT(--(D63&gt;='Planung Abwesenheiten'!$A$4:$A$11),--(D63&lt;='Planung Abwesenheiten'!$B$4:$B$11))&gt;0, "Urlaub", ""))</f>
        <v>Urlaub</v>
      </c>
      <c r="E64" s="127" t="str" cm="1">
        <f t="array" ref="E64">IF(SUMPRODUCT(--(E63&gt;='Planung Abwesenheiten'!$A$23:$A$30),--(E63&lt;='Planung Abwesenheiten'!$B$23:$B$30))&gt;0, "Seminar",
 IF(SUMPRODUCT(--(E63&gt;='Planung Abwesenheiten'!$A$4:$A$11),--(E63&lt;='Planung Abwesenheiten'!$B$4:$B$11))&gt;0, "Urlaub", ""))</f>
        <v/>
      </c>
      <c r="F64" s="127" t="str" cm="1">
        <f t="array" ref="F64">IF(SUMPRODUCT(--(F63&gt;='Planung Abwesenheiten'!$A$23:$A$30),--(F63&lt;='Planung Abwesenheiten'!$B$23:$B$30))&gt;0, "Seminar",
 IF(SUMPRODUCT(--(F63&gt;='Planung Abwesenheiten'!$A$4:$A$11),--(F63&lt;='Planung Abwesenheiten'!$B$4:$B$11))&gt;0, "Urlaub", ""))</f>
        <v/>
      </c>
      <c r="G64" s="127" t="s">
        <v>22</v>
      </c>
      <c r="H64" s="127" t="str" cm="1">
        <f t="array" ref="H64">IF(SUMPRODUCT(--(H63&gt;='Planung Abwesenheiten'!$A$23:$A$30),--(H63&lt;='Planung Abwesenheiten'!$B$23:$B$30))&gt;0, "Seminar",
 IF(SUMPRODUCT(--(H63&gt;='Planung Abwesenheiten'!$A$4:$A$11),--(H63&lt;='Planung Abwesenheiten'!$B$4:$B$11))&gt;0, "Urlaub", ""))</f>
        <v/>
      </c>
      <c r="I64" s="127" t="str" cm="1">
        <f t="array" ref="I64">IF(SUMPRODUCT(--(I63&gt;='Planung Abwesenheiten'!$A$23:$A$30),--(I63&lt;='Planung Abwesenheiten'!$B$23:$B$30))&gt;0, "Seminar",
 IF(SUMPRODUCT(--(I63&gt;='Planung Abwesenheiten'!$A$4:$A$11),--(I63&lt;='Planung Abwesenheiten'!$B$4:$B$11))&gt;0, "Urlaub", ""))</f>
        <v/>
      </c>
      <c r="J64" s="215"/>
      <c r="L64" s="204"/>
      <c r="M64" s="127" t="str" cm="1">
        <f t="array" ref="M64">IF(SUMPRODUCT(--(M63&gt;='Planung Abwesenheiten'!$A$23:$A$30),--(M63&lt;='Planung Abwesenheiten'!$B$23:$B$30))&gt;0, "Seminar",
 IF(SUMPRODUCT(--(M63&gt;='Planung Abwesenheiten'!$A$4:$A$11),--(M63&lt;='Planung Abwesenheiten'!$B$4:$B$11))&gt;0, "Urlaub", ""))</f>
        <v/>
      </c>
      <c r="N64" s="127" t="str" cm="1">
        <f t="array" ref="N64">IF(SUMPRODUCT(--(N63&gt;='Planung Abwesenheiten'!$A$23:$A$30),--(N63&lt;='Planung Abwesenheiten'!$B$23:$B$30))&gt;0, "Seminar",
 IF(SUMPRODUCT(--(N63&gt;='Planung Abwesenheiten'!$A$4:$A$11),--(N63&lt;='Planung Abwesenheiten'!$B$4:$B$11))&gt;0, "Urlaub", ""))</f>
        <v/>
      </c>
      <c r="O64" s="127" t="str" cm="1">
        <f t="array" ref="O64">IF(SUMPRODUCT(--(O63&gt;='Planung Abwesenheiten'!$A$23:$A$30),--(O63&lt;='Planung Abwesenheiten'!$B$23:$B$30))&gt;0, "Seminar",
 IF(SUMPRODUCT(--(O63&gt;='Planung Abwesenheiten'!$A$4:$A$11),--(O63&lt;='Planung Abwesenheiten'!$B$4:$B$11))&gt;0, "Urlaub", ""))</f>
        <v/>
      </c>
      <c r="P64" s="127" t="str" cm="1">
        <f t="array" ref="P64">IF(SUMPRODUCT(--(P63&gt;='Planung Abwesenheiten'!$A$23:$A$30),--(P63&lt;='Planung Abwesenheiten'!$B$23:$B$30))&gt;0, "Seminar",
 IF(SUMPRODUCT(--(P63&gt;='Planung Abwesenheiten'!$A$4:$A$11),--(P63&lt;='Planung Abwesenheiten'!$B$4:$B$11))&gt;0, "Urlaub", ""))</f>
        <v/>
      </c>
      <c r="Q64" s="127" t="str" cm="1">
        <f t="array" ref="Q64">IF(SUMPRODUCT(--(Q63&gt;='Planung Abwesenheiten'!$A$23:$A$30),--(Q63&lt;='Planung Abwesenheiten'!$B$23:$B$30))&gt;0, "Seminar",
 IF(SUMPRODUCT(--(Q63&gt;='Planung Abwesenheiten'!$A$4:$A$11),--(Q63&lt;='Planung Abwesenheiten'!$B$4:$B$11))&gt;0, "Urlaub", ""))</f>
        <v/>
      </c>
      <c r="R64" s="127" t="str" cm="1">
        <f t="array" ref="R64">IF(SUMPRODUCT(--(R63&gt;='Planung Abwesenheiten'!$A$23:$A$30),--(R63&lt;='Planung Abwesenheiten'!$B$23:$B$30))&gt;0, "Seminar",
 IF(SUMPRODUCT(--(R63&gt;='Planung Abwesenheiten'!$A$4:$A$11),--(R63&lt;='Planung Abwesenheiten'!$B$4:$B$11))&gt;0, "Urlaub", ""))</f>
        <v/>
      </c>
      <c r="S64" s="127" t="str" cm="1">
        <f t="array" ref="S64">IF(SUMPRODUCT(--(S63&gt;='Planung Abwesenheiten'!$A$23:$A$30),--(S63&lt;='Planung Abwesenheiten'!$B$23:$B$30))&gt;0, "Seminar",
 IF(SUMPRODUCT(--(S63&gt;='Planung Abwesenheiten'!$A$4:$A$11),--(S63&lt;='Planung Abwesenheiten'!$B$4:$B$11))&gt;0, "Urlaub", ""))</f>
        <v/>
      </c>
      <c r="T64" s="206"/>
    </row>
    <row r="65" spans="2:20" x14ac:dyDescent="0.25">
      <c r="J65" s="54">
        <f>SUM(J55:J63)</f>
        <v>4</v>
      </c>
      <c r="L65" s="203">
        <f>L63+1</f>
        <v>47</v>
      </c>
      <c r="M65" s="63">
        <f>DATE(Statistik!$D$1,1,-2)-WEEKDAY(DATE(Statistik!$D$1,1,3))+L65*7</f>
        <v>46342</v>
      </c>
      <c r="N65" s="65">
        <f t="shared" si="27"/>
        <v>46343</v>
      </c>
      <c r="O65" s="65">
        <f t="shared" si="27"/>
        <v>46344</v>
      </c>
      <c r="P65" s="65">
        <f t="shared" si="27"/>
        <v>46345</v>
      </c>
      <c r="Q65" s="65">
        <f t="shared" si="27"/>
        <v>46346</v>
      </c>
      <c r="R65" s="65">
        <f t="shared" si="27"/>
        <v>46347</v>
      </c>
      <c r="S65" s="65">
        <f t="shared" si="27"/>
        <v>46348</v>
      </c>
      <c r="T65" s="205">
        <f>COUNTIF(M66:S66,'pers. Daten'!$F$1)</f>
        <v>0</v>
      </c>
    </row>
    <row r="66" spans="2:20" ht="15.75" thickBot="1" x14ac:dyDescent="0.3">
      <c r="B66" t="s">
        <v>72</v>
      </c>
      <c r="L66" s="204"/>
      <c r="M66" s="127" t="str" cm="1">
        <f t="array" ref="M66">IF(SUMPRODUCT(--(M65&gt;='Planung Abwesenheiten'!$A$23:$A$30),--(M65&lt;='Planung Abwesenheiten'!$B$23:$B$30))&gt;0, "Seminar",
 IF(SUMPRODUCT(--(M65&gt;='Planung Abwesenheiten'!$A$4:$A$11),--(M65&lt;='Planung Abwesenheiten'!$B$4:$B$11))&gt;0, "Urlaub", ""))</f>
        <v/>
      </c>
      <c r="N66" s="127" t="str" cm="1">
        <f t="array" ref="N66">IF(SUMPRODUCT(--(N65&gt;='Planung Abwesenheiten'!$A$23:$A$30),--(N65&lt;='Planung Abwesenheiten'!$B$23:$B$30))&gt;0, "Seminar",
 IF(SUMPRODUCT(--(N65&gt;='Planung Abwesenheiten'!$A$4:$A$11),--(N65&lt;='Planung Abwesenheiten'!$B$4:$B$11))&gt;0, "Urlaub", ""))</f>
        <v/>
      </c>
      <c r="O66" s="127" t="str" cm="1">
        <f t="array" ref="O66">IF(SUMPRODUCT(--(O65&gt;='Planung Abwesenheiten'!$A$23:$A$30),--(O65&lt;='Planung Abwesenheiten'!$B$23:$B$30))&gt;0, "Seminar",
 IF(SUMPRODUCT(--(O65&gt;='Planung Abwesenheiten'!$A$4:$A$11),--(O65&lt;='Planung Abwesenheiten'!$B$4:$B$11))&gt;0, "Urlaub", ""))</f>
        <v/>
      </c>
      <c r="P66" s="127" t="str" cm="1">
        <f t="array" ref="P66">IF(SUMPRODUCT(--(P65&gt;='Planung Abwesenheiten'!$A$23:$A$30),--(P65&lt;='Planung Abwesenheiten'!$B$23:$B$30))&gt;0, "Seminar",
 IF(SUMPRODUCT(--(P65&gt;='Planung Abwesenheiten'!$A$4:$A$11),--(P65&lt;='Planung Abwesenheiten'!$B$4:$B$11))&gt;0, "Urlaub", ""))</f>
        <v/>
      </c>
      <c r="Q66" s="127" t="str" cm="1">
        <f t="array" ref="Q66">IF(SUMPRODUCT(--(Q65&gt;='Planung Abwesenheiten'!$A$23:$A$30),--(Q65&lt;='Planung Abwesenheiten'!$B$23:$B$30))&gt;0, "Seminar",
 IF(SUMPRODUCT(--(Q65&gt;='Planung Abwesenheiten'!$A$4:$A$11),--(Q65&lt;='Planung Abwesenheiten'!$B$4:$B$11))&gt;0, "Urlaub", ""))</f>
        <v/>
      </c>
      <c r="R66" s="127" t="str" cm="1">
        <f t="array" ref="R66">IF(SUMPRODUCT(--(R65&gt;='Planung Abwesenheiten'!$A$23:$A$30),--(R65&lt;='Planung Abwesenheiten'!$B$23:$B$30))&gt;0, "Seminar",
 IF(SUMPRODUCT(--(R65&gt;='Planung Abwesenheiten'!$A$4:$A$11),--(R65&lt;='Planung Abwesenheiten'!$B$4:$B$11))&gt;0, "Urlaub", ""))</f>
        <v/>
      </c>
      <c r="S66" s="127" t="str" cm="1">
        <f t="array" ref="S66">IF(SUMPRODUCT(--(S65&gt;='Planung Abwesenheiten'!$A$23:$A$30),--(S65&lt;='Planung Abwesenheiten'!$B$23:$B$30))&gt;0, "Seminar",
 IF(SUMPRODUCT(--(S65&gt;='Planung Abwesenheiten'!$A$4:$A$11),--(S65&lt;='Planung Abwesenheiten'!$B$4:$B$11))&gt;0, "Urlaub", ""))</f>
        <v/>
      </c>
      <c r="T66" s="206"/>
    </row>
    <row r="67" spans="2:20" ht="15.75" thickBot="1" x14ac:dyDescent="0.3">
      <c r="B67" s="53" t="s">
        <v>40</v>
      </c>
      <c r="C67" s="147" t="s">
        <v>60</v>
      </c>
      <c r="D67" s="147" t="s">
        <v>61</v>
      </c>
      <c r="E67" s="147" t="s">
        <v>62</v>
      </c>
      <c r="F67" s="147" t="s">
        <v>63</v>
      </c>
      <c r="G67" s="147" t="s">
        <v>64</v>
      </c>
      <c r="H67" s="147" t="s">
        <v>65</v>
      </c>
      <c r="I67" s="147" t="s">
        <v>66</v>
      </c>
      <c r="J67" s="53" t="s">
        <v>32</v>
      </c>
      <c r="L67" s="203">
        <f>L65+1</f>
        <v>48</v>
      </c>
      <c r="M67" s="63">
        <f>DATE(Statistik!$D$1,1,-2)-WEEKDAY(DATE(Statistik!$D$1,1,3))+L67*7</f>
        <v>46349</v>
      </c>
      <c r="N67" s="65">
        <f t="shared" si="27"/>
        <v>46350</v>
      </c>
      <c r="O67" s="65">
        <f t="shared" si="27"/>
        <v>46351</v>
      </c>
      <c r="P67" s="65">
        <f t="shared" si="27"/>
        <v>46352</v>
      </c>
      <c r="Q67" s="65">
        <f t="shared" si="27"/>
        <v>46353</v>
      </c>
      <c r="R67" s="65">
        <f t="shared" si="27"/>
        <v>46354</v>
      </c>
      <c r="S67" s="65">
        <f t="shared" si="27"/>
        <v>46355</v>
      </c>
      <c r="T67" s="205">
        <f>COUNTIF(M68:S68,'pers. Daten'!$F$1)</f>
        <v>0</v>
      </c>
    </row>
    <row r="68" spans="2:20" ht="15.75" thickBot="1" x14ac:dyDescent="0.3">
      <c r="B68" s="216">
        <v>23</v>
      </c>
      <c r="C68" s="63">
        <f>DATE(Statistik!$D$1,1,-2)-WEEKDAY(DATE(Statistik!$D$1,1,3))+B68*7</f>
        <v>46174</v>
      </c>
      <c r="D68" s="63">
        <f t="shared" ref="D68:I68" si="28">C68+1</f>
        <v>46175</v>
      </c>
      <c r="E68" s="63">
        <f t="shared" si="28"/>
        <v>46176</v>
      </c>
      <c r="F68" s="63">
        <f t="shared" si="28"/>
        <v>46177</v>
      </c>
      <c r="G68" s="63">
        <f t="shared" si="28"/>
        <v>46178</v>
      </c>
      <c r="H68" s="63">
        <f t="shared" si="28"/>
        <v>46179</v>
      </c>
      <c r="I68" s="63">
        <f t="shared" si="28"/>
        <v>46180</v>
      </c>
      <c r="J68" s="214">
        <f>COUNTIF(C69:I69,'pers. Daten'!$F$1)</f>
        <v>1</v>
      </c>
      <c r="L68" s="204"/>
      <c r="M68" s="127" t="str" cm="1">
        <f t="array" ref="M68">IF(SUMPRODUCT(--(M67&gt;='Planung Abwesenheiten'!$A$23:$A$30),--(M67&lt;='Planung Abwesenheiten'!$B$23:$B$30))&gt;0, "Seminar",
 IF(SUMPRODUCT(--(M67&gt;='Planung Abwesenheiten'!$A$4:$A$11),--(M67&lt;='Planung Abwesenheiten'!$B$4:$B$11))&gt;0, "Urlaub", ""))</f>
        <v/>
      </c>
      <c r="N68" s="127" t="str" cm="1">
        <f t="array" ref="N68">IF(SUMPRODUCT(--(N67&gt;='Planung Abwesenheiten'!$A$23:$A$30),--(N67&lt;='Planung Abwesenheiten'!$B$23:$B$30))&gt;0, "Seminar",
 IF(SUMPRODUCT(--(N67&gt;='Planung Abwesenheiten'!$A$4:$A$11),--(N67&lt;='Planung Abwesenheiten'!$B$4:$B$11))&gt;0, "Urlaub", ""))</f>
        <v/>
      </c>
      <c r="O68" s="127" t="str" cm="1">
        <f t="array" ref="O68">IF(SUMPRODUCT(--(O67&gt;='Planung Abwesenheiten'!$A$23:$A$30),--(O67&lt;='Planung Abwesenheiten'!$B$23:$B$30))&gt;0, "Seminar",
 IF(SUMPRODUCT(--(O67&gt;='Planung Abwesenheiten'!$A$4:$A$11),--(O67&lt;='Planung Abwesenheiten'!$B$4:$B$11))&gt;0, "Urlaub", ""))</f>
        <v/>
      </c>
      <c r="P68" s="127" t="str" cm="1">
        <f t="array" ref="P68">IF(SUMPRODUCT(--(P67&gt;='Planung Abwesenheiten'!$A$23:$A$30),--(P67&lt;='Planung Abwesenheiten'!$B$23:$B$30))&gt;0, "Seminar",
 IF(SUMPRODUCT(--(P67&gt;='Planung Abwesenheiten'!$A$4:$A$11),--(P67&lt;='Planung Abwesenheiten'!$B$4:$B$11))&gt;0, "Urlaub", ""))</f>
        <v/>
      </c>
      <c r="Q68" s="127" t="str" cm="1">
        <f t="array" ref="Q68">IF(SUMPRODUCT(--(Q67&gt;='Planung Abwesenheiten'!$A$23:$A$30),--(Q67&lt;='Planung Abwesenheiten'!$B$23:$B$30))&gt;0, "Seminar",
 IF(SUMPRODUCT(--(Q67&gt;='Planung Abwesenheiten'!$A$4:$A$11),--(Q67&lt;='Planung Abwesenheiten'!$B$4:$B$11))&gt;0, "Urlaub", ""))</f>
        <v/>
      </c>
      <c r="R68" s="127" t="str" cm="1">
        <f t="array" ref="R68">IF(SUMPRODUCT(--(R67&gt;='Planung Abwesenheiten'!$A$23:$A$30),--(R67&lt;='Planung Abwesenheiten'!$B$23:$B$30))&gt;0, "Seminar",
 IF(SUMPRODUCT(--(R67&gt;='Planung Abwesenheiten'!$A$4:$A$11),--(R67&lt;='Planung Abwesenheiten'!$B$4:$B$11))&gt;0, "Urlaub", ""))</f>
        <v/>
      </c>
      <c r="S68" s="127" t="str" cm="1">
        <f t="array" ref="S68">IF(SUMPRODUCT(--(S67&gt;='Planung Abwesenheiten'!$A$23:$A$30),--(S67&lt;='Planung Abwesenheiten'!$B$23:$B$30))&gt;0, "Seminar",
 IF(SUMPRODUCT(--(S67&gt;='Planung Abwesenheiten'!$A$4:$A$11),--(S67&lt;='Planung Abwesenheiten'!$B$4:$B$11))&gt;0, "Urlaub", ""))</f>
        <v/>
      </c>
      <c r="T68" s="206"/>
    </row>
    <row r="69" spans="2:20" ht="15.75" thickBot="1" x14ac:dyDescent="0.3">
      <c r="B69" s="217"/>
      <c r="C69" s="127" t="str" cm="1">
        <f t="array" ref="C69">IF(SUMPRODUCT(--(C68&gt;='Planung Abwesenheiten'!$A$23:$A$30),--(C68&lt;='Planung Abwesenheiten'!$B$23:$B$30))&gt;0, "Seminar",
 IF(SUMPRODUCT(--(C68&gt;='Planung Abwesenheiten'!$A$4:$A$11),--(C68&lt;='Planung Abwesenheiten'!$B$4:$B$11))&gt;0, "Urlaub", ""))</f>
        <v/>
      </c>
      <c r="D69" s="127" t="str" cm="1">
        <f t="array" ref="D69">IF(SUMPRODUCT(--(D68&gt;='Planung Abwesenheiten'!$A$23:$A$30),--(D68&lt;='Planung Abwesenheiten'!$B$23:$B$30))&gt;0, "Seminar",
 IF(SUMPRODUCT(--(D68&gt;='Planung Abwesenheiten'!$A$4:$A$11),--(D68&lt;='Planung Abwesenheiten'!$B$4:$B$11))&gt;0, "Urlaub", ""))</f>
        <v/>
      </c>
      <c r="E69" s="127" t="s">
        <v>22</v>
      </c>
      <c r="F69" s="169" t="s">
        <v>235</v>
      </c>
      <c r="G69" s="127" t="str" cm="1">
        <f t="array" ref="G69">IF(SUMPRODUCT(--(G68&gt;='Planung Abwesenheiten'!$A$23:$A$30),--(G68&lt;='Planung Abwesenheiten'!$B$23:$B$30))&gt;0, "Seminar",
 IF(SUMPRODUCT(--(G68&gt;='Planung Abwesenheiten'!$A$4:$A$11),--(G68&lt;='Planung Abwesenheiten'!$B$4:$B$11))&gt;0, "Urlaub", ""))</f>
        <v/>
      </c>
      <c r="H69" s="127" t="str" cm="1">
        <f t="array" ref="H69">IF(SUMPRODUCT(--(H68&gt;='Planung Abwesenheiten'!$A$23:$A$30),--(H68&lt;='Planung Abwesenheiten'!$B$23:$B$30))&gt;0, "Seminar",
 IF(SUMPRODUCT(--(H68&gt;='Planung Abwesenheiten'!$A$4:$A$11),--(H68&lt;='Planung Abwesenheiten'!$B$4:$B$11))&gt;0, "Urlaub", ""))</f>
        <v/>
      </c>
      <c r="I69" s="127" t="str" cm="1">
        <f t="array" ref="I69">IF(SUMPRODUCT(--(I68&gt;='Planung Abwesenheiten'!$A$23:$A$30),--(I68&lt;='Planung Abwesenheiten'!$B$23:$B$30))&gt;0, "Seminar",
 IF(SUMPRODUCT(--(I68&gt;='Planung Abwesenheiten'!$A$4:$A$11),--(I68&lt;='Planung Abwesenheiten'!$B$4:$B$11))&gt;0, "Urlaub", ""))</f>
        <v/>
      </c>
      <c r="J69" s="215"/>
      <c r="T69" s="54">
        <f>SUM(T59:T67)</f>
        <v>0</v>
      </c>
    </row>
    <row r="70" spans="2:20" x14ac:dyDescent="0.25">
      <c r="B70" s="216">
        <f>B68+1</f>
        <v>24</v>
      </c>
      <c r="C70" s="63">
        <f>DATE(Statistik!$D$1,1,-2)-WEEKDAY(DATE(Statistik!$D$1,1,3))+B70*7</f>
        <v>46181</v>
      </c>
      <c r="D70" s="65">
        <f t="shared" ref="D70:I76" si="29">D68+7</f>
        <v>46182</v>
      </c>
      <c r="E70" s="65">
        <f t="shared" si="29"/>
        <v>46183</v>
      </c>
      <c r="F70" s="65">
        <f t="shared" si="29"/>
        <v>46184</v>
      </c>
      <c r="G70" s="65">
        <f t="shared" si="29"/>
        <v>46185</v>
      </c>
      <c r="H70" s="65">
        <f t="shared" si="29"/>
        <v>46186</v>
      </c>
      <c r="I70" s="65">
        <f t="shared" si="29"/>
        <v>46187</v>
      </c>
      <c r="J70" s="214">
        <f>COUNTIF(C71:I71,'pers. Daten'!$F$1)</f>
        <v>2</v>
      </c>
      <c r="L70" t="s">
        <v>78</v>
      </c>
    </row>
    <row r="71" spans="2:20" ht="15.75" thickBot="1" x14ac:dyDescent="0.3">
      <c r="B71" s="217"/>
      <c r="C71" s="127" t="str" cm="1">
        <f t="array" ref="C71">IF(SUMPRODUCT(--(C70&gt;='Planung Abwesenheiten'!$A$23:$A$30),--(C70&lt;='Planung Abwesenheiten'!$B$23:$B$30))&gt;0, "Seminar",
 IF(SUMPRODUCT(--(C70&gt;='Planung Abwesenheiten'!$A$4:$A$11),--(C70&lt;='Planung Abwesenheiten'!$B$4:$B$11))&gt;0, "Urlaub", ""))</f>
        <v/>
      </c>
      <c r="D71" s="127" t="str" cm="1">
        <f t="array" ref="D71">IF(SUMPRODUCT(--(D70&gt;='Planung Abwesenheiten'!$A$23:$A$30),--(D70&lt;='Planung Abwesenheiten'!$B$23:$B$30))&gt;0, "Seminar",
 IF(SUMPRODUCT(--(D70&gt;='Planung Abwesenheiten'!$A$4:$A$11),--(D70&lt;='Planung Abwesenheiten'!$B$4:$B$11))&gt;0, "Urlaub", ""))</f>
        <v/>
      </c>
      <c r="E71" s="127" t="s">
        <v>22</v>
      </c>
      <c r="F71" s="127" t="str" cm="1">
        <f t="array" ref="F71">IF(SUMPRODUCT(--(F70&gt;='Planung Abwesenheiten'!$A$23:$A$30),--(F70&lt;='Planung Abwesenheiten'!$B$23:$B$30))&gt;0, "Seminar",
 IF(SUMPRODUCT(--(F70&gt;='Planung Abwesenheiten'!$A$4:$A$11),--(F70&lt;='Planung Abwesenheiten'!$B$4:$B$11))&gt;0, "Urlaub", ""))</f>
        <v/>
      </c>
      <c r="G71" s="127" t="s">
        <v>22</v>
      </c>
      <c r="H71" s="127" t="str" cm="1">
        <f t="array" ref="H71">IF(SUMPRODUCT(--(H70&gt;='Planung Abwesenheiten'!$A$23:$A$30),--(H70&lt;='Planung Abwesenheiten'!$B$23:$B$30))&gt;0, "Seminar",
 IF(SUMPRODUCT(--(H70&gt;='Planung Abwesenheiten'!$A$4:$A$11),--(H70&lt;='Planung Abwesenheiten'!$B$4:$B$11))&gt;0, "Urlaub", ""))</f>
        <v/>
      </c>
      <c r="I71" s="127" t="str" cm="1">
        <f t="array" ref="I71">IF(SUMPRODUCT(--(I70&gt;='Planung Abwesenheiten'!$A$23:$A$30),--(I70&lt;='Planung Abwesenheiten'!$B$23:$B$30))&gt;0, "Seminar",
 IF(SUMPRODUCT(--(I70&gt;='Planung Abwesenheiten'!$A$4:$A$11),--(I70&lt;='Planung Abwesenheiten'!$B$4:$B$11))&gt;0, "Urlaub", ""))</f>
        <v/>
      </c>
      <c r="J71" s="215"/>
      <c r="L71" s="53" t="s">
        <v>40</v>
      </c>
      <c r="M71" s="147" t="s">
        <v>60</v>
      </c>
      <c r="N71" s="147" t="s">
        <v>61</v>
      </c>
      <c r="O71" s="147" t="s">
        <v>62</v>
      </c>
      <c r="P71" s="147" t="s">
        <v>63</v>
      </c>
      <c r="Q71" s="147" t="s">
        <v>64</v>
      </c>
      <c r="R71" s="147" t="s">
        <v>65</v>
      </c>
      <c r="S71" s="147" t="s">
        <v>66</v>
      </c>
      <c r="T71" s="53" t="s">
        <v>32</v>
      </c>
    </row>
    <row r="72" spans="2:20" x14ac:dyDescent="0.25">
      <c r="B72" s="216">
        <f>B70+1</f>
        <v>25</v>
      </c>
      <c r="C72" s="63">
        <f>DATE(Statistik!$D$1,1,-2)-WEEKDAY(DATE(Statistik!$D$1,1,3))+B72*7</f>
        <v>46188</v>
      </c>
      <c r="D72" s="65">
        <f t="shared" si="29"/>
        <v>46189</v>
      </c>
      <c r="E72" s="65">
        <f t="shared" si="29"/>
        <v>46190</v>
      </c>
      <c r="F72" s="65">
        <f t="shared" si="29"/>
        <v>46191</v>
      </c>
      <c r="G72" s="65">
        <f t="shared" si="29"/>
        <v>46192</v>
      </c>
      <c r="H72" s="65">
        <f t="shared" si="29"/>
        <v>46193</v>
      </c>
      <c r="I72" s="65">
        <f t="shared" si="29"/>
        <v>46194</v>
      </c>
      <c r="J72" s="214">
        <f>COUNTIF(C73:I73,'pers. Daten'!$F$1)</f>
        <v>2</v>
      </c>
      <c r="L72" s="203">
        <v>48</v>
      </c>
      <c r="M72" s="63">
        <f>DATE(Statistik!$D$1,1,-2)-WEEKDAY(DATE(Statistik!$D$1,1,3))+L72*7</f>
        <v>46349</v>
      </c>
      <c r="N72" s="63">
        <f t="shared" ref="N72:S72" si="30">N67</f>
        <v>46350</v>
      </c>
      <c r="O72" s="63">
        <f t="shared" si="30"/>
        <v>46351</v>
      </c>
      <c r="P72" s="63">
        <f t="shared" si="30"/>
        <v>46352</v>
      </c>
      <c r="Q72" s="63">
        <f t="shared" si="30"/>
        <v>46353</v>
      </c>
      <c r="R72" s="63">
        <f t="shared" si="30"/>
        <v>46354</v>
      </c>
      <c r="S72" s="63">
        <f t="shared" si="30"/>
        <v>46355</v>
      </c>
      <c r="T72" s="205">
        <f>COUNTIF(M73:S73,'pers. Daten'!$F$1)</f>
        <v>0</v>
      </c>
    </row>
    <row r="73" spans="2:20" ht="15.75" thickBot="1" x14ac:dyDescent="0.3">
      <c r="B73" s="217"/>
      <c r="C73" s="127" t="str" cm="1">
        <f t="array" ref="C73">IF(SUMPRODUCT(--(C72&gt;='Planung Abwesenheiten'!$A$23:$A$30),--(C72&lt;='Planung Abwesenheiten'!$B$23:$B$30))&gt;0, "Seminar",
 IF(SUMPRODUCT(--(C72&gt;='Planung Abwesenheiten'!$A$4:$A$11),--(C72&lt;='Planung Abwesenheiten'!$B$4:$B$11))&gt;0, "Urlaub", ""))</f>
        <v/>
      </c>
      <c r="D73" s="127" t="str" cm="1">
        <f t="array" ref="D73">IF(SUMPRODUCT(--(D72&gt;='Planung Abwesenheiten'!$A$23:$A$30),--(D72&lt;='Planung Abwesenheiten'!$B$23:$B$30))&gt;0, "Seminar",
 IF(SUMPRODUCT(--(D72&gt;='Planung Abwesenheiten'!$A$4:$A$11),--(D72&lt;='Planung Abwesenheiten'!$B$4:$B$11))&gt;0, "Urlaub", ""))</f>
        <v/>
      </c>
      <c r="E73" s="127" t="s">
        <v>22</v>
      </c>
      <c r="F73" s="127"/>
      <c r="G73" s="127" t="s">
        <v>22</v>
      </c>
      <c r="H73" s="127" t="str" cm="1">
        <f t="array" ref="H73">IF(SUMPRODUCT(--(H72&gt;='Planung Abwesenheiten'!$A$23:$A$30),--(H72&lt;='Planung Abwesenheiten'!$B$23:$B$30))&gt;0, "Seminar",
 IF(SUMPRODUCT(--(H72&gt;='Planung Abwesenheiten'!$A$4:$A$11),--(H72&lt;='Planung Abwesenheiten'!$B$4:$B$11))&gt;0, "Urlaub", ""))</f>
        <v/>
      </c>
      <c r="I73" s="127" t="str" cm="1">
        <f t="array" ref="I73">IF(SUMPRODUCT(--(I72&gt;='Planung Abwesenheiten'!$A$23:$A$30),--(I72&lt;='Planung Abwesenheiten'!$B$23:$B$30))&gt;0, "Seminar",
 IF(SUMPRODUCT(--(I72&gt;='Planung Abwesenheiten'!$A$4:$A$11),--(I72&lt;='Planung Abwesenheiten'!$B$4:$B$11))&gt;0, "Urlaub", ""))</f>
        <v/>
      </c>
      <c r="J73" s="215"/>
      <c r="L73" s="204"/>
      <c r="M73" s="127" t="str" cm="1">
        <f t="array" ref="M73">IF(SUMPRODUCT(--(M72&gt;='Planung Abwesenheiten'!$A$23:$A$30),--(M72&lt;='Planung Abwesenheiten'!$B$23:$B$30))&gt;0, "Seminar",
 IF(SUMPRODUCT(--(M72&gt;='Planung Abwesenheiten'!$A$4:$A$11),--(M72&lt;='Planung Abwesenheiten'!$B$4:$B$11))&gt;0, "Urlaub", ""))</f>
        <v/>
      </c>
      <c r="N73" s="127" t="str" cm="1">
        <f t="array" ref="N73">IF(SUMPRODUCT(--(N72&gt;='Planung Abwesenheiten'!$A$23:$A$30),--(N72&lt;='Planung Abwesenheiten'!$B$23:$B$30))&gt;0, "Seminar",
 IF(SUMPRODUCT(--(N72&gt;='Planung Abwesenheiten'!$A$4:$A$11),--(N72&lt;='Planung Abwesenheiten'!$B$4:$B$11))&gt;0, "Urlaub", ""))</f>
        <v/>
      </c>
      <c r="O73" s="127" t="str" cm="1">
        <f t="array" ref="O73">IF(SUMPRODUCT(--(O72&gt;='Planung Abwesenheiten'!$A$23:$A$30),--(O72&lt;='Planung Abwesenheiten'!$B$23:$B$30))&gt;0, "Seminar",
 IF(SUMPRODUCT(--(O72&gt;='Planung Abwesenheiten'!$A$4:$A$11),--(O72&lt;='Planung Abwesenheiten'!$B$4:$B$11))&gt;0, "Urlaub", ""))</f>
        <v/>
      </c>
      <c r="P73" s="127" t="str" cm="1">
        <f t="array" ref="P73">IF(SUMPRODUCT(--(P72&gt;='Planung Abwesenheiten'!$A$23:$A$30),--(P72&lt;='Planung Abwesenheiten'!$B$23:$B$30))&gt;0, "Seminar",
 IF(SUMPRODUCT(--(P72&gt;='Planung Abwesenheiten'!$A$4:$A$11),--(P72&lt;='Planung Abwesenheiten'!$B$4:$B$11))&gt;0, "Urlaub", ""))</f>
        <v/>
      </c>
      <c r="Q73" s="127" t="str" cm="1">
        <f t="array" ref="Q73">IF(SUMPRODUCT(--(Q72&gt;='Planung Abwesenheiten'!$A$23:$A$30),--(Q72&lt;='Planung Abwesenheiten'!$B$23:$B$30))&gt;0, "Seminar",
 IF(SUMPRODUCT(--(Q72&gt;='Planung Abwesenheiten'!$A$4:$A$11),--(Q72&lt;='Planung Abwesenheiten'!$B$4:$B$11))&gt;0, "Urlaub", ""))</f>
        <v/>
      </c>
      <c r="R73" s="127" t="str" cm="1">
        <f t="array" ref="R73">IF(SUMPRODUCT(--(R72&gt;='Planung Abwesenheiten'!$A$23:$A$30),--(R72&lt;='Planung Abwesenheiten'!$B$23:$B$30))&gt;0, "Seminar",
 IF(SUMPRODUCT(--(R72&gt;='Planung Abwesenheiten'!$A$4:$A$11),--(R72&lt;='Planung Abwesenheiten'!$B$4:$B$11))&gt;0, "Urlaub", ""))</f>
        <v/>
      </c>
      <c r="S73" s="127" t="str" cm="1">
        <f t="array" ref="S73">IF(SUMPRODUCT(--(S72&gt;='Planung Abwesenheiten'!$A$23:$A$30),--(S72&lt;='Planung Abwesenheiten'!$B$23:$B$30))&gt;0, "Seminar",
 IF(SUMPRODUCT(--(S72&gt;='Planung Abwesenheiten'!$A$4:$A$11),--(S72&lt;='Planung Abwesenheiten'!$B$4:$B$11))&gt;0, "Urlaub", ""))</f>
        <v/>
      </c>
      <c r="T73" s="206"/>
    </row>
    <row r="74" spans="2:20" x14ac:dyDescent="0.25">
      <c r="B74" s="216">
        <f>B72+1</f>
        <v>26</v>
      </c>
      <c r="C74" s="63">
        <f>DATE(Statistik!$D$1,1,-2)-WEEKDAY(DATE(Statistik!$D$1,1,3))+B74*7</f>
        <v>46195</v>
      </c>
      <c r="D74" s="65">
        <f t="shared" si="29"/>
        <v>46196</v>
      </c>
      <c r="E74" s="65">
        <f t="shared" si="29"/>
        <v>46197</v>
      </c>
      <c r="F74" s="65">
        <f t="shared" si="29"/>
        <v>46198</v>
      </c>
      <c r="G74" s="65">
        <f t="shared" si="29"/>
        <v>46199</v>
      </c>
      <c r="H74" s="65">
        <f t="shared" si="29"/>
        <v>46200</v>
      </c>
      <c r="I74" s="65">
        <f t="shared" si="29"/>
        <v>46201</v>
      </c>
      <c r="J74" s="214">
        <f>COUNTIF(C75:I75,'pers. Daten'!$F$1)</f>
        <v>2</v>
      </c>
      <c r="L74" s="203">
        <f>L72+1</f>
        <v>49</v>
      </c>
      <c r="M74" s="63">
        <f>DATE(Statistik!$D$1,1,-2)-WEEKDAY(DATE(Statistik!$D$1,1,3))+L74*7</f>
        <v>46356</v>
      </c>
      <c r="N74" s="65">
        <f t="shared" ref="N74:S74" si="31">N72+7</f>
        <v>46357</v>
      </c>
      <c r="O74" s="65">
        <f t="shared" si="31"/>
        <v>46358</v>
      </c>
      <c r="P74" s="65">
        <f t="shared" si="31"/>
        <v>46359</v>
      </c>
      <c r="Q74" s="65">
        <f t="shared" si="31"/>
        <v>46360</v>
      </c>
      <c r="R74" s="65">
        <f t="shared" si="31"/>
        <v>46361</v>
      </c>
      <c r="S74" s="65">
        <f t="shared" si="31"/>
        <v>46362</v>
      </c>
      <c r="T74" s="205">
        <f>COUNTIF(M75:S75,'pers. Daten'!$F$1)</f>
        <v>0</v>
      </c>
    </row>
    <row r="75" spans="2:20" ht="15.75" thickBot="1" x14ac:dyDescent="0.3">
      <c r="B75" s="217"/>
      <c r="C75" s="127" t="str" cm="1">
        <f t="array" ref="C75">IF(SUMPRODUCT(--(C74&gt;='Planung Abwesenheiten'!$A$23:$A$30),--(C74&lt;='Planung Abwesenheiten'!$B$23:$B$30))&gt;0, "Seminar",
 IF(SUMPRODUCT(--(C74&gt;='Planung Abwesenheiten'!$A$4:$A$11),--(C74&lt;='Planung Abwesenheiten'!$B$4:$B$11))&gt;0, "Urlaub", ""))</f>
        <v/>
      </c>
      <c r="D75" s="127" t="s">
        <v>22</v>
      </c>
      <c r="E75" s="127" t="str" cm="1">
        <f t="array" ref="E75">IF(SUMPRODUCT(--(E74&gt;='Planung Abwesenheiten'!$A$23:$A$30),--(E74&lt;='Planung Abwesenheiten'!$B$23:$B$30))&gt;0, "Seminar",
 IF(SUMPRODUCT(--(E74&gt;='Planung Abwesenheiten'!$A$4:$A$11),--(E74&lt;='Planung Abwesenheiten'!$B$4:$B$11))&gt;0, "Urlaub", ""))</f>
        <v/>
      </c>
      <c r="F75" s="127" t="s">
        <v>22</v>
      </c>
      <c r="G75" s="127" t="str" cm="1">
        <f t="array" ref="G75">IF(SUMPRODUCT(--(G74&gt;='Planung Abwesenheiten'!$A$23:$A$30),--(G74&lt;='Planung Abwesenheiten'!$B$23:$B$30))&gt;0, "Seminar",
 IF(SUMPRODUCT(--(G74&gt;='Planung Abwesenheiten'!$A$4:$A$11),--(G74&lt;='Planung Abwesenheiten'!$B$4:$B$11))&gt;0, "Urlaub", ""))</f>
        <v/>
      </c>
      <c r="H75" s="127" t="str" cm="1">
        <f t="array" ref="H75">IF(SUMPRODUCT(--(H74&gt;='Planung Abwesenheiten'!$A$23:$A$30),--(H74&lt;='Planung Abwesenheiten'!$B$23:$B$30))&gt;0, "Seminar",
 IF(SUMPRODUCT(--(H74&gt;='Planung Abwesenheiten'!$A$4:$A$11),--(H74&lt;='Planung Abwesenheiten'!$B$4:$B$11))&gt;0, "Urlaub", ""))</f>
        <v/>
      </c>
      <c r="I75" s="127" t="str" cm="1">
        <f t="array" ref="I75">IF(SUMPRODUCT(--(I74&gt;='Planung Abwesenheiten'!$A$23:$A$30),--(I74&lt;='Planung Abwesenheiten'!$B$23:$B$30))&gt;0, "Seminar",
 IF(SUMPRODUCT(--(I74&gt;='Planung Abwesenheiten'!$A$4:$A$11),--(I74&lt;='Planung Abwesenheiten'!$B$4:$B$11))&gt;0, "Urlaub", ""))</f>
        <v/>
      </c>
      <c r="J75" s="215"/>
      <c r="L75" s="204"/>
      <c r="M75" s="127" t="str" cm="1">
        <f t="array" ref="M75">IF(SUMPRODUCT(--(M74&gt;='Planung Abwesenheiten'!$A$23:$A$30),--(M74&lt;='Planung Abwesenheiten'!$B$23:$B$30))&gt;0, "Seminar",
 IF(SUMPRODUCT(--(M74&gt;='Planung Abwesenheiten'!$A$4:$A$11),--(M74&lt;='Planung Abwesenheiten'!$B$4:$B$11))&gt;0, "Urlaub", ""))</f>
        <v/>
      </c>
      <c r="N75" s="127" t="str" cm="1">
        <f t="array" ref="N75">IF(SUMPRODUCT(--(N74&gt;='Planung Abwesenheiten'!$A$23:$A$30),--(N74&lt;='Planung Abwesenheiten'!$B$23:$B$30))&gt;0, "Seminar",
 IF(SUMPRODUCT(--(N74&gt;='Planung Abwesenheiten'!$A$4:$A$11),--(N74&lt;='Planung Abwesenheiten'!$B$4:$B$11))&gt;0, "Urlaub", ""))</f>
        <v/>
      </c>
      <c r="O75" s="127" t="str" cm="1">
        <f t="array" ref="O75">IF(SUMPRODUCT(--(O74&gt;='Planung Abwesenheiten'!$A$23:$A$30),--(O74&lt;='Planung Abwesenheiten'!$B$23:$B$30))&gt;0, "Seminar",
 IF(SUMPRODUCT(--(O74&gt;='Planung Abwesenheiten'!$A$4:$A$11),--(O74&lt;='Planung Abwesenheiten'!$B$4:$B$11))&gt;0, "Urlaub", ""))</f>
        <v/>
      </c>
      <c r="P75" s="127" t="str" cm="1">
        <f t="array" ref="P75">IF(SUMPRODUCT(--(P74&gt;='Planung Abwesenheiten'!$A$23:$A$30),--(P74&lt;='Planung Abwesenheiten'!$B$23:$B$30))&gt;0, "Seminar",
 IF(SUMPRODUCT(--(P74&gt;='Planung Abwesenheiten'!$A$4:$A$11),--(P74&lt;='Planung Abwesenheiten'!$B$4:$B$11))&gt;0, "Urlaub", ""))</f>
        <v/>
      </c>
      <c r="Q75" s="127" t="str" cm="1">
        <f t="array" ref="Q75">IF(SUMPRODUCT(--(Q74&gt;='Planung Abwesenheiten'!$A$23:$A$30),--(Q74&lt;='Planung Abwesenheiten'!$B$23:$B$30))&gt;0, "Seminar",
 IF(SUMPRODUCT(--(Q74&gt;='Planung Abwesenheiten'!$A$4:$A$11),--(Q74&lt;='Planung Abwesenheiten'!$B$4:$B$11))&gt;0, "Urlaub", ""))</f>
        <v/>
      </c>
      <c r="R75" s="127" t="str" cm="1">
        <f t="array" ref="R75">IF(SUMPRODUCT(--(R74&gt;='Planung Abwesenheiten'!$A$23:$A$30),--(R74&lt;='Planung Abwesenheiten'!$B$23:$B$30))&gt;0, "Seminar",
 IF(SUMPRODUCT(--(R74&gt;='Planung Abwesenheiten'!$A$4:$A$11),--(R74&lt;='Planung Abwesenheiten'!$B$4:$B$11))&gt;0, "Urlaub", ""))</f>
        <v/>
      </c>
      <c r="S75" s="127" t="str" cm="1">
        <f t="array" ref="S75">IF(SUMPRODUCT(--(S74&gt;='Planung Abwesenheiten'!$A$23:$A$30),--(S74&lt;='Planung Abwesenheiten'!$B$23:$B$30))&gt;0, "Seminar",
 IF(SUMPRODUCT(--(S74&gt;='Planung Abwesenheiten'!$A$4:$A$11),--(S74&lt;='Planung Abwesenheiten'!$B$4:$B$11))&gt;0, "Urlaub", ""))</f>
        <v/>
      </c>
      <c r="T75" s="206"/>
    </row>
    <row r="76" spans="2:20" x14ac:dyDescent="0.25">
      <c r="B76" s="216">
        <f>B74+1</f>
        <v>27</v>
      </c>
      <c r="C76" s="63">
        <f>DATE(Statistik!$D$1,1,-2)-WEEKDAY(DATE(Statistik!$D$1,1,3))+B76*7</f>
        <v>46202</v>
      </c>
      <c r="D76" s="65">
        <f t="shared" si="29"/>
        <v>46203</v>
      </c>
      <c r="E76" s="65">
        <f t="shared" si="29"/>
        <v>46204</v>
      </c>
      <c r="F76" s="65">
        <f t="shared" si="29"/>
        <v>46205</v>
      </c>
      <c r="G76" s="65">
        <f t="shared" si="29"/>
        <v>46206</v>
      </c>
      <c r="H76" s="65">
        <f t="shared" si="29"/>
        <v>46207</v>
      </c>
      <c r="I76" s="65">
        <f t="shared" si="29"/>
        <v>46208</v>
      </c>
      <c r="J76" s="214">
        <f>COUNTIF(C77:I77,'pers. Daten'!$F$1)</f>
        <v>0</v>
      </c>
      <c r="L76" s="203">
        <f>L74+1</f>
        <v>50</v>
      </c>
      <c r="M76" s="63">
        <f>DATE(Statistik!$D$1,1,-2)-WEEKDAY(DATE(Statistik!$D$1,1,3))+L76*7</f>
        <v>46363</v>
      </c>
      <c r="N76" s="65">
        <f t="shared" ref="N76:S76" si="32">N74+7</f>
        <v>46364</v>
      </c>
      <c r="O76" s="65">
        <f t="shared" si="32"/>
        <v>46365</v>
      </c>
      <c r="P76" s="65">
        <f t="shared" si="32"/>
        <v>46366</v>
      </c>
      <c r="Q76" s="65">
        <f t="shared" si="32"/>
        <v>46367</v>
      </c>
      <c r="R76" s="65">
        <f t="shared" si="32"/>
        <v>46368</v>
      </c>
      <c r="S76" s="65">
        <f t="shared" si="32"/>
        <v>46369</v>
      </c>
      <c r="T76" s="205">
        <f>COUNTIF(M77:S77,'pers. Daten'!$F$1)</f>
        <v>0</v>
      </c>
    </row>
    <row r="77" spans="2:20" ht="15.75" thickBot="1" x14ac:dyDescent="0.3">
      <c r="B77" s="217"/>
      <c r="C77" s="127" t="str" cm="1">
        <f t="array" ref="C77">IF(SUMPRODUCT(--(C76&gt;='Planung Abwesenheiten'!$A$23:$A$30),--(C76&lt;='Planung Abwesenheiten'!$B$23:$B$30))&gt;0, "Seminar",
 IF(SUMPRODUCT(--(C76&gt;='Planung Abwesenheiten'!$A$4:$A$11),--(C76&lt;='Planung Abwesenheiten'!$B$4:$B$11))&gt;0, "Urlaub", ""))</f>
        <v/>
      </c>
      <c r="D77" s="127" t="str" cm="1">
        <f t="array" ref="D77">IF(SUMPRODUCT(--(D76&gt;='Planung Abwesenheiten'!$A$23:$A$30),--(D76&lt;='Planung Abwesenheiten'!$B$23:$B$30))&gt;0, "Seminar",
 IF(SUMPRODUCT(--(D76&gt;='Planung Abwesenheiten'!$A$4:$A$11),--(D76&lt;='Planung Abwesenheiten'!$B$4:$B$11))&gt;0, "Urlaub", ""))</f>
        <v/>
      </c>
      <c r="E77" s="127" t="str" cm="1">
        <f t="array" ref="E77">IF(SUMPRODUCT(--(E76&gt;='Planung Abwesenheiten'!$A$23:$A$30),--(E76&lt;='Planung Abwesenheiten'!$B$23:$B$30))&gt;0, "Seminar",
 IF(SUMPRODUCT(--(E76&gt;='Planung Abwesenheiten'!$A$4:$A$11),--(E76&lt;='Planung Abwesenheiten'!$B$4:$B$11))&gt;0, "Urlaub", ""))</f>
        <v/>
      </c>
      <c r="F77" s="127" t="str" cm="1">
        <f t="array" ref="F77">IF(SUMPRODUCT(--(F76&gt;='Planung Abwesenheiten'!$A$23:$A$30),--(F76&lt;='Planung Abwesenheiten'!$B$23:$B$30))&gt;0, "Seminar",
 IF(SUMPRODUCT(--(F76&gt;='Planung Abwesenheiten'!$A$4:$A$11),--(F76&lt;='Planung Abwesenheiten'!$B$4:$B$11))&gt;0, "Urlaub", ""))</f>
        <v/>
      </c>
      <c r="G77" s="127" t="str" cm="1">
        <f t="array" ref="G77">IF(SUMPRODUCT(--(G76&gt;='Planung Abwesenheiten'!$A$23:$A$30),--(G76&lt;='Planung Abwesenheiten'!$B$23:$B$30))&gt;0, "Seminar",
 IF(SUMPRODUCT(--(G76&gt;='Planung Abwesenheiten'!$A$4:$A$11),--(G76&lt;='Planung Abwesenheiten'!$B$4:$B$11))&gt;0, "Urlaub", ""))</f>
        <v/>
      </c>
      <c r="H77" s="127" t="str" cm="1">
        <f t="array" ref="H77">IF(SUMPRODUCT(--(H76&gt;='Planung Abwesenheiten'!$A$23:$A$30),--(H76&lt;='Planung Abwesenheiten'!$B$23:$B$30))&gt;0, "Seminar",
 IF(SUMPRODUCT(--(H76&gt;='Planung Abwesenheiten'!$A$4:$A$11),--(H76&lt;='Planung Abwesenheiten'!$B$4:$B$11))&gt;0, "Urlaub", ""))</f>
        <v/>
      </c>
      <c r="I77" s="127" t="str" cm="1">
        <f t="array" ref="I77">IF(SUMPRODUCT(--(I76&gt;='Planung Abwesenheiten'!$A$23:$A$30),--(I76&lt;='Planung Abwesenheiten'!$B$23:$B$30))&gt;0, "Seminar",
 IF(SUMPRODUCT(--(I76&gt;='Planung Abwesenheiten'!$A$4:$A$11),--(I76&lt;='Planung Abwesenheiten'!$B$4:$B$11))&gt;0, "Urlaub", ""))</f>
        <v/>
      </c>
      <c r="J77" s="215"/>
      <c r="L77" s="204"/>
      <c r="M77" s="127" t="str" cm="1">
        <f t="array" ref="M77">IF(SUMPRODUCT(--(M76&gt;='Planung Abwesenheiten'!$A$23:$A$30),--(M76&lt;='Planung Abwesenheiten'!$B$23:$B$30))&gt;0, "Seminar",
 IF(SUMPRODUCT(--(M76&gt;='Planung Abwesenheiten'!$A$4:$A$11),--(M76&lt;='Planung Abwesenheiten'!$B$4:$B$11))&gt;0, "Urlaub", ""))</f>
        <v/>
      </c>
      <c r="N77" s="127" t="str" cm="1">
        <f t="array" ref="N77">IF(SUMPRODUCT(--(N76&gt;='Planung Abwesenheiten'!$A$23:$A$30),--(N76&lt;='Planung Abwesenheiten'!$B$23:$B$30))&gt;0, "Seminar",
 IF(SUMPRODUCT(--(N76&gt;='Planung Abwesenheiten'!$A$4:$A$11),--(N76&lt;='Planung Abwesenheiten'!$B$4:$B$11))&gt;0, "Urlaub", ""))</f>
        <v/>
      </c>
      <c r="O77" s="127" t="str" cm="1">
        <f t="array" ref="O77">IF(SUMPRODUCT(--(O76&gt;='Planung Abwesenheiten'!$A$23:$A$30),--(O76&lt;='Planung Abwesenheiten'!$B$23:$B$30))&gt;0, "Seminar",
 IF(SUMPRODUCT(--(O76&gt;='Planung Abwesenheiten'!$A$4:$A$11),--(O76&lt;='Planung Abwesenheiten'!$B$4:$B$11))&gt;0, "Urlaub", ""))</f>
        <v/>
      </c>
      <c r="P77" s="127" t="str" cm="1">
        <f t="array" ref="P77">IF(SUMPRODUCT(--(P76&gt;='Planung Abwesenheiten'!$A$23:$A$30),--(P76&lt;='Planung Abwesenheiten'!$B$23:$B$30))&gt;0, "Seminar",
 IF(SUMPRODUCT(--(P76&gt;='Planung Abwesenheiten'!$A$4:$A$11),--(P76&lt;='Planung Abwesenheiten'!$B$4:$B$11))&gt;0, "Urlaub", ""))</f>
        <v/>
      </c>
      <c r="Q77" s="127" t="str" cm="1">
        <f t="array" ref="Q77">IF(SUMPRODUCT(--(Q76&gt;='Planung Abwesenheiten'!$A$23:$A$30),--(Q76&lt;='Planung Abwesenheiten'!$B$23:$B$30))&gt;0, "Seminar",
 IF(SUMPRODUCT(--(Q76&gt;='Planung Abwesenheiten'!$A$4:$A$11),--(Q76&lt;='Planung Abwesenheiten'!$B$4:$B$11))&gt;0, "Urlaub", ""))</f>
        <v/>
      </c>
      <c r="R77" s="127" t="str" cm="1">
        <f t="array" ref="R77">IF(SUMPRODUCT(--(R76&gt;='Planung Abwesenheiten'!$A$23:$A$30),--(R76&lt;='Planung Abwesenheiten'!$B$23:$B$30))&gt;0, "Seminar",
 IF(SUMPRODUCT(--(R76&gt;='Planung Abwesenheiten'!$A$4:$A$11),--(R76&lt;='Planung Abwesenheiten'!$B$4:$B$11))&gt;0, "Urlaub", ""))</f>
        <v/>
      </c>
      <c r="S77" s="127" t="str" cm="1">
        <f t="array" ref="S77">IF(SUMPRODUCT(--(S76&gt;='Planung Abwesenheiten'!$A$23:$A$30),--(S76&lt;='Planung Abwesenheiten'!$B$23:$B$30))&gt;0, "Seminar",
 IF(SUMPRODUCT(--(S76&gt;='Planung Abwesenheiten'!$A$4:$A$11),--(S76&lt;='Planung Abwesenheiten'!$B$4:$B$11))&gt;0, "Urlaub", ""))</f>
        <v/>
      </c>
      <c r="T77" s="206"/>
    </row>
    <row r="78" spans="2:20" x14ac:dyDescent="0.25">
      <c r="J78" s="54">
        <f>SUM(J68:J76)</f>
        <v>7</v>
      </c>
      <c r="L78" s="203">
        <f>L76+1</f>
        <v>51</v>
      </c>
      <c r="M78" s="63">
        <f>DATE(Statistik!$D$1,1,-2)-WEEKDAY(DATE(Statistik!$D$1,1,3))+L78*7</f>
        <v>46370</v>
      </c>
      <c r="N78" s="65">
        <f t="shared" ref="N78:S78" si="33">N76+7</f>
        <v>46371</v>
      </c>
      <c r="O78" s="65">
        <f t="shared" si="33"/>
        <v>46372</v>
      </c>
      <c r="P78" s="65">
        <f t="shared" si="33"/>
        <v>46373</v>
      </c>
      <c r="Q78" s="65">
        <f t="shared" si="33"/>
        <v>46374</v>
      </c>
      <c r="R78" s="65">
        <f t="shared" si="33"/>
        <v>46375</v>
      </c>
      <c r="S78" s="65">
        <f t="shared" si="33"/>
        <v>46376</v>
      </c>
      <c r="T78" s="205">
        <f>COUNTIF(M79:S79,'pers. Daten'!$F$1)</f>
        <v>0</v>
      </c>
    </row>
    <row r="79" spans="2:20" ht="15.75" thickBot="1" x14ac:dyDescent="0.3">
      <c r="L79" s="204"/>
      <c r="M79" s="127" t="str" cm="1">
        <f t="array" ref="M79">IF(SUMPRODUCT(--(M78&gt;='Planung Abwesenheiten'!$A$23:$A$30),--(M78&lt;='Planung Abwesenheiten'!$B$23:$B$30))&gt;0, "Seminar",
 IF(SUMPRODUCT(--(M78&gt;='Planung Abwesenheiten'!$A$4:$A$11),--(M78&lt;='Planung Abwesenheiten'!$B$4:$B$11))&gt;0, "Urlaub", ""))</f>
        <v/>
      </c>
      <c r="N79" s="127" t="str" cm="1">
        <f t="array" ref="N79">IF(SUMPRODUCT(--(N78&gt;='Planung Abwesenheiten'!$A$23:$A$30),--(N78&lt;='Planung Abwesenheiten'!$B$23:$B$30))&gt;0, "Seminar",
 IF(SUMPRODUCT(--(N78&gt;='Planung Abwesenheiten'!$A$4:$A$11),--(N78&lt;='Planung Abwesenheiten'!$B$4:$B$11))&gt;0, "Urlaub", ""))</f>
        <v/>
      </c>
      <c r="O79" s="127" t="str" cm="1">
        <f t="array" ref="O79">IF(SUMPRODUCT(--(O78&gt;='Planung Abwesenheiten'!$A$23:$A$30),--(O78&lt;='Planung Abwesenheiten'!$B$23:$B$30))&gt;0, "Seminar",
 IF(SUMPRODUCT(--(O78&gt;='Planung Abwesenheiten'!$A$4:$A$11),--(O78&lt;='Planung Abwesenheiten'!$B$4:$B$11))&gt;0, "Urlaub", ""))</f>
        <v/>
      </c>
      <c r="P79" s="127" t="str" cm="1">
        <f t="array" ref="P79">IF(SUMPRODUCT(--(P78&gt;='Planung Abwesenheiten'!$A$23:$A$30),--(P78&lt;='Planung Abwesenheiten'!$B$23:$B$30))&gt;0, "Seminar",
 IF(SUMPRODUCT(--(P78&gt;='Planung Abwesenheiten'!$A$4:$A$11),--(P78&lt;='Planung Abwesenheiten'!$B$4:$B$11))&gt;0, "Urlaub", ""))</f>
        <v/>
      </c>
      <c r="Q79" s="127" t="str" cm="1">
        <f t="array" ref="Q79">IF(SUMPRODUCT(--(Q78&gt;='Planung Abwesenheiten'!$A$23:$A$30),--(Q78&lt;='Planung Abwesenheiten'!$B$23:$B$30))&gt;0, "Seminar",
 IF(SUMPRODUCT(--(Q78&gt;='Planung Abwesenheiten'!$A$4:$A$11),--(Q78&lt;='Planung Abwesenheiten'!$B$4:$B$11))&gt;0, "Urlaub", ""))</f>
        <v/>
      </c>
      <c r="R79" s="127" t="str" cm="1">
        <f t="array" ref="R79">IF(SUMPRODUCT(--(R78&gt;='Planung Abwesenheiten'!$A$23:$A$30),--(R78&lt;='Planung Abwesenheiten'!$B$23:$B$30))&gt;0, "Seminar",
 IF(SUMPRODUCT(--(R78&gt;='Planung Abwesenheiten'!$A$4:$A$11),--(R78&lt;='Planung Abwesenheiten'!$B$4:$B$11))&gt;0, "Urlaub", ""))</f>
        <v/>
      </c>
      <c r="S79" s="127" t="str" cm="1">
        <f t="array" ref="S79">IF(SUMPRODUCT(--(S78&gt;='Planung Abwesenheiten'!$A$23:$A$30),--(S78&lt;='Planung Abwesenheiten'!$B$23:$B$30))&gt;0, "Seminar",
 IF(SUMPRODUCT(--(S78&gt;='Planung Abwesenheiten'!$A$4:$A$11),--(S78&lt;='Planung Abwesenheiten'!$B$4:$B$11))&gt;0, "Urlaub", ""))</f>
        <v/>
      </c>
      <c r="T79" s="206"/>
    </row>
    <row r="80" spans="2:20" x14ac:dyDescent="0.25">
      <c r="L80" s="203">
        <f>L78+1</f>
        <v>52</v>
      </c>
      <c r="M80" s="63">
        <f>DATE(Statistik!$D$1,1,-2)-WEEKDAY(DATE(Statistik!$D$1,1,3))+L80*7</f>
        <v>46377</v>
      </c>
      <c r="N80" s="65">
        <f t="shared" ref="N80:S80" si="34">N78+7</f>
        <v>46378</v>
      </c>
      <c r="O80" s="167">
        <f t="shared" si="34"/>
        <v>46379</v>
      </c>
      <c r="P80" s="167">
        <f t="shared" si="34"/>
        <v>46380</v>
      </c>
      <c r="Q80" s="167">
        <f t="shared" si="34"/>
        <v>46381</v>
      </c>
      <c r="R80" s="167">
        <f t="shared" si="34"/>
        <v>46382</v>
      </c>
      <c r="S80" s="167">
        <f t="shared" si="34"/>
        <v>46383</v>
      </c>
      <c r="T80" s="205">
        <f>COUNTIF(M81:S81,'pers. Daten'!$F$1)</f>
        <v>0</v>
      </c>
    </row>
    <row r="81" spans="12:20" ht="15.75" thickBot="1" x14ac:dyDescent="0.3">
      <c r="L81" s="204"/>
      <c r="M81" s="127"/>
      <c r="N81" s="127"/>
      <c r="O81" s="127"/>
      <c r="P81" s="127" t="s">
        <v>29</v>
      </c>
      <c r="Q81" s="127" t="s">
        <v>238</v>
      </c>
      <c r="R81" s="127" t="s">
        <v>238</v>
      </c>
      <c r="S81" s="127"/>
      <c r="T81" s="206"/>
    </row>
    <row r="82" spans="12:20" x14ac:dyDescent="0.25">
      <c r="L82" s="203">
        <v>53</v>
      </c>
      <c r="M82" s="166">
        <f>DATE(Statistik!$D$1,1,-2)-WEEKDAY(DATE(Statistik!$D$1,1,3))+L82*7</f>
        <v>46384</v>
      </c>
      <c r="N82" s="167">
        <f t="shared" ref="N82:S82" si="35">N80+7</f>
        <v>46385</v>
      </c>
      <c r="O82" s="167">
        <f t="shared" si="35"/>
        <v>46386</v>
      </c>
      <c r="P82" s="167">
        <f t="shared" si="35"/>
        <v>46387</v>
      </c>
      <c r="Q82" s="167">
        <f t="shared" si="35"/>
        <v>46388</v>
      </c>
      <c r="R82" s="167">
        <f t="shared" si="35"/>
        <v>46389</v>
      </c>
      <c r="S82" s="167">
        <f t="shared" si="35"/>
        <v>46390</v>
      </c>
      <c r="T82" s="205">
        <f>COUNTIF(M83:S83,'pers. Daten'!$F$1)</f>
        <v>0</v>
      </c>
    </row>
    <row r="83" spans="12:20" ht="15.75" thickBot="1" x14ac:dyDescent="0.3">
      <c r="L83" s="204"/>
      <c r="M83" s="127"/>
      <c r="N83" s="127"/>
      <c r="O83" s="127"/>
      <c r="P83" s="127"/>
      <c r="Q83" s="127" t="s">
        <v>229</v>
      </c>
      <c r="R83" s="127"/>
      <c r="S83" s="127"/>
      <c r="T83" s="206"/>
    </row>
    <row r="84" spans="12:20" x14ac:dyDescent="0.25">
      <c r="T84" s="54">
        <f>SUM(T72:T80)</f>
        <v>0</v>
      </c>
    </row>
    <row r="92" spans="12:20" customFormat="1" x14ac:dyDescent="0.25"/>
    <row r="93" spans="12:20" customFormat="1" x14ac:dyDescent="0.25"/>
    <row r="94" spans="12:20" customFormat="1" x14ac:dyDescent="0.25"/>
    <row r="95" spans="12:20" customFormat="1" x14ac:dyDescent="0.25"/>
    <row r="96" spans="12:20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</sheetData>
  <mergeCells count="84">
    <mergeCell ref="T26:T27"/>
    <mergeCell ref="B3:B4"/>
    <mergeCell ref="B5:B6"/>
    <mergeCell ref="B7:B8"/>
    <mergeCell ref="B9:B10"/>
    <mergeCell ref="B11:B12"/>
    <mergeCell ref="J3:J4"/>
    <mergeCell ref="J5:J6"/>
    <mergeCell ref="J7:J8"/>
    <mergeCell ref="J9:J10"/>
    <mergeCell ref="J11:J12"/>
    <mergeCell ref="B16:B17"/>
    <mergeCell ref="B18:B19"/>
    <mergeCell ref="B20:B21"/>
    <mergeCell ref="B22:B23"/>
    <mergeCell ref="B24:B25"/>
    <mergeCell ref="J20:J21"/>
    <mergeCell ref="J18:J19"/>
    <mergeCell ref="J16:J17"/>
    <mergeCell ref="B37:B38"/>
    <mergeCell ref="B35:B36"/>
    <mergeCell ref="B33:B34"/>
    <mergeCell ref="B31:B32"/>
    <mergeCell ref="B29:B30"/>
    <mergeCell ref="B76:B77"/>
    <mergeCell ref="B74:B75"/>
    <mergeCell ref="B72:B73"/>
    <mergeCell ref="B70:B71"/>
    <mergeCell ref="B68:B69"/>
    <mergeCell ref="J76:J77"/>
    <mergeCell ref="J74:J75"/>
    <mergeCell ref="J72:J73"/>
    <mergeCell ref="J70:J71"/>
    <mergeCell ref="J68:J69"/>
    <mergeCell ref="J63:J64"/>
    <mergeCell ref="B50:B51"/>
    <mergeCell ref="B48:B49"/>
    <mergeCell ref="B46:B47"/>
    <mergeCell ref="B44:B45"/>
    <mergeCell ref="J61:J62"/>
    <mergeCell ref="J59:J60"/>
    <mergeCell ref="J57:J58"/>
    <mergeCell ref="J55:J56"/>
    <mergeCell ref="J50:J51"/>
    <mergeCell ref="J48:J49"/>
    <mergeCell ref="B63:B64"/>
    <mergeCell ref="B61:B62"/>
    <mergeCell ref="B59:B60"/>
    <mergeCell ref="B57:B58"/>
    <mergeCell ref="B55:B56"/>
    <mergeCell ref="B42:B43"/>
    <mergeCell ref="L5:L6"/>
    <mergeCell ref="L3:L4"/>
    <mergeCell ref="L7:L8"/>
    <mergeCell ref="L9:L10"/>
    <mergeCell ref="L11:L12"/>
    <mergeCell ref="L26:L27"/>
    <mergeCell ref="J31:J32"/>
    <mergeCell ref="J29:J30"/>
    <mergeCell ref="L16:L17"/>
    <mergeCell ref="L18:L19"/>
    <mergeCell ref="L20:L21"/>
    <mergeCell ref="L22:L23"/>
    <mergeCell ref="L24:L25"/>
    <mergeCell ref="J24:J25"/>
    <mergeCell ref="J22:J23"/>
    <mergeCell ref="T33:T34"/>
    <mergeCell ref="J46:J47"/>
    <mergeCell ref="J44:J45"/>
    <mergeCell ref="J42:J43"/>
    <mergeCell ref="J37:J38"/>
    <mergeCell ref="J35:J36"/>
    <mergeCell ref="J33:J34"/>
    <mergeCell ref="L33:L34"/>
    <mergeCell ref="T3:T4"/>
    <mergeCell ref="T5:T6"/>
    <mergeCell ref="T7:T8"/>
    <mergeCell ref="T9:T10"/>
    <mergeCell ref="T11:T12"/>
    <mergeCell ref="T16:T17"/>
    <mergeCell ref="T18:T19"/>
    <mergeCell ref="T20:T21"/>
    <mergeCell ref="T22:T23"/>
    <mergeCell ref="T24:T25"/>
  </mergeCells>
  <conditionalFormatting sqref="A108:XFD1048576 B92:XFD107 A85:XFD91 L31:T84 A1:XFD25 A26:K84 U26:XFD84 T28 L26:T27">
    <cfRule type="cellIs" dxfId="13" priority="1" operator="equal">
      <formula>"V/N"</formula>
    </cfRule>
    <cfRule type="cellIs" dxfId="12" priority="2" operator="equal">
      <formula>"Flex"</formula>
    </cfRule>
    <cfRule type="cellIs" dxfId="11" priority="3" operator="equal">
      <formula>"Urlaub"</formula>
    </cfRule>
    <cfRule type="cellIs" dxfId="10" priority="4" operator="equal">
      <formula>"Mobil"</formula>
    </cfRule>
    <cfRule type="cellIs" dxfId="9" priority="5" operator="equal">
      <formula>"Weihnachten"</formula>
    </cfRule>
    <cfRule type="cellIs" dxfId="8" priority="6" operator="equal">
      <formula>"Fronleichnam"</formula>
    </cfRule>
    <cfRule type="cellIs" dxfId="7" priority="7" operator="equal">
      <formula>"Alerheiligen"</formula>
    </cfRule>
    <cfRule type="cellIs" dxfId="6" priority="8" operator="equal">
      <formula>"Einheit"</formula>
    </cfRule>
    <cfRule type="cellIs" dxfId="5" priority="9" operator="equal">
      <formula>"Pfingsten"</formula>
    </cfRule>
    <cfRule type="cellIs" dxfId="4" priority="10" operator="equal">
      <formula>"Himmelfahrt"</formula>
    </cfRule>
    <cfRule type="cellIs" dxfId="3" priority="11" operator="equal">
      <formula>"Tag d. Arbeit"</formula>
    </cfRule>
    <cfRule type="cellIs" dxfId="2" priority="12" operator="equal">
      <formula>"Karfreitag"</formula>
    </cfRule>
    <cfRule type="cellIs" dxfId="1" priority="13" operator="equal">
      <formula>"Neujahr"</formula>
    </cfRule>
    <cfRule type="cellIs" dxfId="0" priority="14" operator="equal">
      <formula>"Ostern"</formula>
    </cfRule>
  </conditionalFormatting>
  <dataValidations count="2">
    <dataValidation type="list" allowBlank="1" sqref="C47:I47 C62:I62 V17 C69:I69 C10:I10 C12:I12 C17:I17 C19:I19 C21:I21 C23:I23 C25:I25 C4:I4 C32:I32 C36:I36 C60:I60 V2 C75:I75 C34:I34 C51:I51 C77:I77 M4:S4 C30:I30 V19 C49:I49 C71:I71 C38:I38 C8:I8 C73:I73 C45:I45 M6:S6 C43:I43 C56:I56 C64:I64 C58:I58 C6:I6" xr:uid="{FA67C8E8-99D0-4073-9F24-A950521F8525}">
      <formula1>",mobil"</formula1>
    </dataValidation>
    <dataValidation type="list" allowBlank="1" sqref="M83:S83 M8:S8 M10:S10 M17:S17 M19:S19 M21:S21 M23:S23 M25:S25 M34:S34 M36:S36 M38:S38 M40:S40 M42:S42 M47:S47 M49:S49 M51:S51 M53:S53 M55:S55 M60:S60 M62:S62 M64:S64 M66:S66 M68:S68 M73:S73 M75:S75 M77:S77 M79:S79 M81:S81 M12:S12 M27:S27" xr:uid="{813DE541-DE79-47E5-AF21-7B4E0C7C22E3}">
      <formula1>",mobil,Urlaub,krank"</formula1>
    </dataValidation>
  </dataValidations>
  <pageMargins left="0.7" right="0.7" top="0.75" bottom="0.75" header="0.3" footer="0.3"/>
  <pageSetup paperSize="9" orientation="portrait" r:id="rId1"/>
  <headerFooter>
    <oddFooter>&amp;C&amp;1#&amp;"Arial"&amp;8&amp;K869197Internal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A170C-816D-483B-8579-28A3858BB2F6}">
  <dimension ref="A1:A5"/>
  <sheetViews>
    <sheetView workbookViewId="0">
      <selection activeCell="A6" sqref="A6"/>
    </sheetView>
  </sheetViews>
  <sheetFormatPr defaultRowHeight="15" x14ac:dyDescent="0.25"/>
  <sheetData>
    <row r="1" spans="1:1" x14ac:dyDescent="0.25">
      <c r="A1" t="s">
        <v>269</v>
      </c>
    </row>
    <row r="2" spans="1:1" x14ac:dyDescent="0.25">
      <c r="A2" t="s">
        <v>29</v>
      </c>
    </row>
    <row r="3" spans="1:1" x14ac:dyDescent="0.25">
      <c r="A3" t="s">
        <v>25</v>
      </c>
    </row>
    <row r="4" spans="1:1" x14ac:dyDescent="0.25">
      <c r="A4" t="s">
        <v>27</v>
      </c>
    </row>
    <row r="5" spans="1:1" x14ac:dyDescent="0.25">
      <c r="A5" t="s">
        <v>270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498D-E9DE-4079-B01B-0C379180B3EB}">
  <sheetPr codeName="Sheet1"/>
  <dimension ref="B1:AF274"/>
  <sheetViews>
    <sheetView showGridLines="0" zoomScaleNormal="100" workbookViewId="0">
      <selection activeCell="F37" sqref="F37"/>
    </sheetView>
  </sheetViews>
  <sheetFormatPr defaultRowHeight="15" x14ac:dyDescent="0.25"/>
  <cols>
    <col min="1" max="1" width="4.42578125" customWidth="1"/>
    <col min="2" max="2" width="3.7109375" bestFit="1" customWidth="1"/>
    <col min="3" max="3" width="2" bestFit="1" customWidth="1"/>
    <col min="4" max="4" width="16.140625" customWidth="1"/>
    <col min="5" max="5" width="11.140625" style="177" bestFit="1" customWidth="1"/>
    <col min="6" max="6" width="22.28515625" style="177" bestFit="1" customWidth="1"/>
    <col min="7" max="7" width="8.140625" bestFit="1" customWidth="1"/>
    <col min="8" max="8" width="16.7109375" customWidth="1"/>
    <col min="9" max="9" width="20.85546875" bestFit="1" customWidth="1"/>
    <col min="10" max="10" width="12.28515625" bestFit="1" customWidth="1"/>
    <col min="11" max="11" width="13.42578125" bestFit="1" customWidth="1"/>
    <col min="12" max="13" width="7.7109375" bestFit="1" customWidth="1"/>
    <col min="14" max="14" width="14.28515625" bestFit="1" customWidth="1"/>
    <col min="15" max="15" width="16.5703125" bestFit="1" customWidth="1"/>
    <col min="16" max="16" width="11.28515625" bestFit="1" customWidth="1"/>
    <col min="17" max="19" width="10.5703125" bestFit="1" customWidth="1"/>
    <col min="20" max="20" width="36.85546875" bestFit="1" customWidth="1"/>
    <col min="21" max="23" width="10.5703125" bestFit="1" customWidth="1"/>
    <col min="24" max="24" width="3.7109375" bestFit="1" customWidth="1"/>
    <col min="25" max="25" width="2.42578125" customWidth="1"/>
    <col min="26" max="26" width="13.7109375" bestFit="1" customWidth="1"/>
    <col min="27" max="27" width="2.7109375" bestFit="1" customWidth="1"/>
    <col min="28" max="28" width="3.140625" bestFit="1" customWidth="1"/>
    <col min="29" max="29" width="3.28515625" bestFit="1" customWidth="1"/>
    <col min="30" max="30" width="2.5703125" bestFit="1" customWidth="1"/>
    <col min="31" max="31" width="2.85546875" bestFit="1" customWidth="1"/>
    <col min="32" max="32" width="3" bestFit="1" customWidth="1"/>
  </cols>
  <sheetData>
    <row r="1" spans="2:32" ht="15.75" thickBot="1" x14ac:dyDescent="0.3"/>
    <row r="2" spans="2:32" x14ac:dyDescent="0.25">
      <c r="D2" s="55"/>
      <c r="E2" s="178"/>
      <c r="F2" s="178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</row>
    <row r="3" spans="2:32" x14ac:dyDescent="0.25">
      <c r="B3" s="57"/>
      <c r="C3" s="58"/>
      <c r="D3" s="1" t="s">
        <v>40</v>
      </c>
      <c r="E3" s="179" t="e">
        <f>#REF!+1</f>
        <v>#REF!</v>
      </c>
      <c r="F3" s="179" t="s">
        <v>0</v>
      </c>
      <c r="G3" s="2">
        <f>SUM(I6:I12)</f>
        <v>0.64583333333333337</v>
      </c>
      <c r="H3" s="221" t="s">
        <v>1</v>
      </c>
      <c r="I3" s="222"/>
      <c r="J3" s="2">
        <f>SUM(J6:J12)</f>
        <v>0.64583333333333337</v>
      </c>
      <c r="K3" s="67"/>
      <c r="L3" s="68"/>
      <c r="M3" s="35"/>
      <c r="N3" s="40" t="s">
        <v>57</v>
      </c>
      <c r="O3" s="8"/>
    </row>
    <row r="4" spans="2:32" x14ac:dyDescent="0.25">
      <c r="B4" s="59"/>
      <c r="C4" s="60"/>
      <c r="D4" s="1"/>
      <c r="E4" s="179"/>
      <c r="F4" s="180" t="s">
        <v>48</v>
      </c>
      <c r="G4" s="2">
        <f>SUM(Q6:Q12)/24</f>
        <v>0</v>
      </c>
      <c r="H4" s="52"/>
      <c r="I4" s="21" t="s">
        <v>58</v>
      </c>
      <c r="J4" s="2">
        <f>P28/24</f>
        <v>0</v>
      </c>
      <c r="K4" s="67"/>
      <c r="L4" s="69"/>
      <c r="M4" s="7"/>
      <c r="O4" s="8"/>
      <c r="Q4" s="93">
        <f>SUM(Q6:Q12)</f>
        <v>0</v>
      </c>
      <c r="R4" s="93">
        <f>SUM(R6:R12)</f>
        <v>7</v>
      </c>
      <c r="S4" s="93">
        <f>SUM(S6:S12)</f>
        <v>31.5</v>
      </c>
      <c r="T4" s="110" t="s">
        <v>188</v>
      </c>
      <c r="U4" s="58"/>
      <c r="V4" s="112" t="s">
        <v>189</v>
      </c>
    </row>
    <row r="5" spans="2:32" x14ac:dyDescent="0.25">
      <c r="B5" s="61"/>
      <c r="C5" s="62"/>
      <c r="D5" s="1" t="s">
        <v>2</v>
      </c>
      <c r="E5" s="179" t="s">
        <v>3</v>
      </c>
      <c r="F5" s="179" t="s">
        <v>4</v>
      </c>
      <c r="G5" s="1" t="s">
        <v>5</v>
      </c>
      <c r="H5" s="52" t="s">
        <v>6</v>
      </c>
      <c r="I5" s="52" t="s">
        <v>7</v>
      </c>
      <c r="J5" s="52" t="s">
        <v>45</v>
      </c>
      <c r="K5" s="1" t="s">
        <v>44</v>
      </c>
      <c r="L5" s="219" t="s">
        <v>21</v>
      </c>
      <c r="M5" s="220"/>
      <c r="N5" s="219" t="s">
        <v>18</v>
      </c>
      <c r="O5" s="220"/>
      <c r="P5" s="42" t="s">
        <v>56</v>
      </c>
      <c r="Q5" s="93" t="s">
        <v>138</v>
      </c>
      <c r="R5" s="52" t="s">
        <v>139</v>
      </c>
      <c r="S5" s="52" t="s">
        <v>140</v>
      </c>
      <c r="T5" s="111" t="s">
        <v>187</v>
      </c>
      <c r="U5" s="62"/>
      <c r="V5" s="113" t="s">
        <v>118</v>
      </c>
    </row>
    <row r="6" spans="2:32" x14ac:dyDescent="0.25">
      <c r="B6" s="21" t="str">
        <f>IF(C6=1,"Mo",IF(C6=2,"Di",IF(C6=3,"Mi",IF(C6=4,"Do",IF(C6=5,"Fr",IF(C6=6,"Sa",IF(C6=7,"So","")))))))</f>
        <v>Mo</v>
      </c>
      <c r="C6" s="1">
        <f>WEEKDAY(D6,2)</f>
        <v>1</v>
      </c>
      <c r="D6" s="189">
        <v>46118</v>
      </c>
      <c r="E6" s="181"/>
      <c r="F6" s="182"/>
      <c r="G6" s="5">
        <f t="shared" ref="G6:G12" si="0">IF(AND(H6&gt;6/24,H6&lt;=9.5/24),0.5/24,IF(H6&gt;9.5/24,0.75/24,0))</f>
        <v>0</v>
      </c>
      <c r="H6" s="22">
        <f t="shared" ref="H6:H12" si="1">((IF(E6*24&gt;F6*24,F6*24+(24-E6*24),F6*24-E6*24))/24)-(V6/24)</f>
        <v>0</v>
      </c>
      <c r="I6" s="6">
        <f>H6-G6</f>
        <v>0</v>
      </c>
      <c r="J6" s="6">
        <f>IF(C6&lt;6,I6,0/24)</f>
        <v>0</v>
      </c>
      <c r="K6" s="23">
        <f>IF(C6&lt;5,((0.5+8.5+(E6*24))/24),IF(C6=5,((6+(E6*24))/24),))</f>
        <v>0.375</v>
      </c>
      <c r="L6" s="219"/>
      <c r="M6" s="220"/>
      <c r="N6" s="219" t="s">
        <v>25</v>
      </c>
      <c r="O6" s="220"/>
      <c r="P6" s="39">
        <f>IF(I6="","",I6*24)</f>
        <v>0</v>
      </c>
      <c r="Q6" s="71"/>
      <c r="R6" s="94" t="b">
        <f t="shared" ref="R6:R12" si="2">IF(C6&lt;5,(IF(P6&gt;8.5,P6-8.5)),IF(C6=5,(IF(P6&gt;6,P6-6)),IF(C6&gt;5,P6)))</f>
        <v>0</v>
      </c>
      <c r="S6" s="94">
        <f>IF(C6&lt;5,(IF(P6&lt;8.5,8.5-P6)),IF(C6=5,(IF(P6&lt;6,6-P6))))</f>
        <v>8.5</v>
      </c>
      <c r="T6" s="24"/>
      <c r="U6" s="25"/>
      <c r="V6" s="109">
        <v>0</v>
      </c>
      <c r="W6" s="114">
        <f t="shared" ref="W6:W12" si="3">D6</f>
        <v>46118</v>
      </c>
      <c r="X6" s="21" t="str">
        <f>B6</f>
        <v>Mo</v>
      </c>
    </row>
    <row r="7" spans="2:32" x14ac:dyDescent="0.25">
      <c r="B7" s="21" t="str">
        <f t="shared" ref="B7:B12" si="4">IF(C7=1,"Mo",IF(C7=2,"Di",IF(C7=3,"Mi",IF(C7=4,"Do",IF(C7=5,"Fr",IF(C7=6,"Sa",IF(C7=7,"So","")))))))</f>
        <v>Di</v>
      </c>
      <c r="C7" s="1">
        <f t="shared" ref="C7:C12" si="5">WEEKDAY(D7,2)</f>
        <v>2</v>
      </c>
      <c r="D7" s="3">
        <f>D6+1</f>
        <v>46119</v>
      </c>
      <c r="E7" s="181">
        <v>0.32291666666666669</v>
      </c>
      <c r="F7" s="182"/>
      <c r="G7" s="5">
        <f t="shared" si="0"/>
        <v>3.125E-2</v>
      </c>
      <c r="H7" s="22">
        <f t="shared" si="1"/>
        <v>0.67708333333333337</v>
      </c>
      <c r="I7" s="6">
        <f t="shared" ref="I7:I12" si="6">H7-G7</f>
        <v>0.64583333333333337</v>
      </c>
      <c r="J7" s="6">
        <f t="shared" ref="J7:J12" si="7">IF(C7&lt;6,I7,0/24)</f>
        <v>0.64583333333333337</v>
      </c>
      <c r="K7" s="23">
        <f t="shared" ref="K7:K12" si="8">IF(C7&lt;5,((0.5+8.5+(E7*24))/24),IF(C7=5,((6+(E7*24))/24),))</f>
        <v>0.69791666666666663</v>
      </c>
      <c r="L7" s="219" t="s">
        <v>23</v>
      </c>
      <c r="M7" s="220"/>
      <c r="N7" s="219"/>
      <c r="O7" s="220"/>
      <c r="P7" s="39">
        <f t="shared" ref="P7:P12" si="9">IF(I7="","",I7*24)</f>
        <v>15.5</v>
      </c>
      <c r="Q7" s="71"/>
      <c r="R7" s="94">
        <f t="shared" si="2"/>
        <v>7</v>
      </c>
      <c r="S7" s="94" t="b">
        <f t="shared" ref="S7:S12" si="10">IF(C7&lt;5,(IF(P7&lt;8.5,8.5-P7)),IF(C7=5,(IF(P7&lt;6,6-P7))))</f>
        <v>0</v>
      </c>
      <c r="T7" s="24"/>
      <c r="U7" s="25"/>
      <c r="V7" s="109">
        <v>0</v>
      </c>
      <c r="W7" s="114">
        <f t="shared" si="3"/>
        <v>46119</v>
      </c>
      <c r="X7" s="21" t="str">
        <f t="shared" ref="X7:X12" si="11">B7</f>
        <v>Di</v>
      </c>
    </row>
    <row r="8" spans="2:32" x14ac:dyDescent="0.25">
      <c r="B8" s="21" t="str">
        <f t="shared" si="4"/>
        <v>Mi</v>
      </c>
      <c r="C8" s="1">
        <f t="shared" si="5"/>
        <v>3</v>
      </c>
      <c r="D8" s="3">
        <f t="shared" ref="D8:D12" si="12">D7+1</f>
        <v>46120</v>
      </c>
      <c r="E8" s="181"/>
      <c r="F8" s="182"/>
      <c r="G8" s="5">
        <f t="shared" si="0"/>
        <v>0</v>
      </c>
      <c r="H8" s="22">
        <f t="shared" si="1"/>
        <v>0</v>
      </c>
      <c r="I8" s="6">
        <f t="shared" si="6"/>
        <v>0</v>
      </c>
      <c r="J8" s="6">
        <f t="shared" si="7"/>
        <v>0</v>
      </c>
      <c r="K8" s="23">
        <f t="shared" si="8"/>
        <v>0.375</v>
      </c>
      <c r="L8" s="219"/>
      <c r="M8" s="220"/>
      <c r="N8" s="219"/>
      <c r="O8" s="220"/>
      <c r="P8" s="39">
        <f t="shared" si="9"/>
        <v>0</v>
      </c>
      <c r="Q8" s="71"/>
      <c r="R8" s="94" t="b">
        <f t="shared" si="2"/>
        <v>0</v>
      </c>
      <c r="S8" s="94">
        <f t="shared" si="10"/>
        <v>8.5</v>
      </c>
      <c r="T8" s="24"/>
      <c r="U8" s="25"/>
      <c r="V8" s="109">
        <v>0</v>
      </c>
      <c r="W8" s="114">
        <f t="shared" si="3"/>
        <v>46120</v>
      </c>
      <c r="X8" s="21" t="str">
        <f t="shared" si="11"/>
        <v>Mi</v>
      </c>
    </row>
    <row r="9" spans="2:32" x14ac:dyDescent="0.25">
      <c r="B9" s="21" t="str">
        <f t="shared" si="4"/>
        <v>Do</v>
      </c>
      <c r="C9" s="1">
        <f t="shared" si="5"/>
        <v>4</v>
      </c>
      <c r="D9" s="3">
        <f t="shared" si="12"/>
        <v>46121</v>
      </c>
      <c r="E9" s="181"/>
      <c r="F9" s="182"/>
      <c r="G9" s="5">
        <f t="shared" si="0"/>
        <v>0</v>
      </c>
      <c r="H9" s="22">
        <f t="shared" si="1"/>
        <v>0</v>
      </c>
      <c r="I9" s="6">
        <f t="shared" si="6"/>
        <v>0</v>
      </c>
      <c r="J9" s="6">
        <f t="shared" si="7"/>
        <v>0</v>
      </c>
      <c r="K9" s="23">
        <f t="shared" si="8"/>
        <v>0.375</v>
      </c>
      <c r="L9" s="219"/>
      <c r="M9" s="220"/>
      <c r="N9" s="219"/>
      <c r="O9" s="220"/>
      <c r="P9" s="39">
        <f t="shared" si="9"/>
        <v>0</v>
      </c>
      <c r="Q9" s="71"/>
      <c r="R9" s="94" t="b">
        <f t="shared" si="2"/>
        <v>0</v>
      </c>
      <c r="S9" s="94">
        <f t="shared" si="10"/>
        <v>8.5</v>
      </c>
      <c r="T9" s="24"/>
      <c r="U9" s="25"/>
      <c r="V9" s="109">
        <v>0</v>
      </c>
      <c r="W9" s="114">
        <f t="shared" si="3"/>
        <v>46121</v>
      </c>
      <c r="X9" s="21" t="str">
        <f t="shared" si="11"/>
        <v>Do</v>
      </c>
    </row>
    <row r="10" spans="2:32" x14ac:dyDescent="0.25">
      <c r="B10" s="21" t="str">
        <f t="shared" si="4"/>
        <v>Fr</v>
      </c>
      <c r="C10" s="1">
        <f t="shared" si="5"/>
        <v>5</v>
      </c>
      <c r="D10" s="3">
        <f t="shared" si="12"/>
        <v>46122</v>
      </c>
      <c r="E10" s="181"/>
      <c r="F10" s="182"/>
      <c r="G10" s="5">
        <f t="shared" si="0"/>
        <v>0</v>
      </c>
      <c r="H10" s="22">
        <f t="shared" si="1"/>
        <v>0</v>
      </c>
      <c r="I10" s="6">
        <f t="shared" si="6"/>
        <v>0</v>
      </c>
      <c r="J10" s="6">
        <f t="shared" si="7"/>
        <v>0</v>
      </c>
      <c r="K10" s="23">
        <f t="shared" si="8"/>
        <v>0.25</v>
      </c>
      <c r="L10" s="219"/>
      <c r="M10" s="220"/>
      <c r="N10" s="219"/>
      <c r="O10" s="220"/>
      <c r="P10" s="39">
        <f t="shared" si="9"/>
        <v>0</v>
      </c>
      <c r="Q10" s="71"/>
      <c r="R10" s="94" t="b">
        <f t="shared" si="2"/>
        <v>0</v>
      </c>
      <c r="S10" s="94">
        <f t="shared" si="10"/>
        <v>6</v>
      </c>
      <c r="T10" s="24"/>
      <c r="U10" s="25"/>
      <c r="V10" s="109">
        <v>0</v>
      </c>
      <c r="W10" s="114">
        <f t="shared" si="3"/>
        <v>46122</v>
      </c>
      <c r="X10" s="21" t="str">
        <f t="shared" si="11"/>
        <v>Fr</v>
      </c>
    </row>
    <row r="11" spans="2:32" x14ac:dyDescent="0.25">
      <c r="B11" s="21" t="str">
        <f t="shared" si="4"/>
        <v>Sa</v>
      </c>
      <c r="C11" s="1">
        <f t="shared" si="5"/>
        <v>6</v>
      </c>
      <c r="D11" s="3">
        <f t="shared" si="12"/>
        <v>46123</v>
      </c>
      <c r="E11" s="181"/>
      <c r="F11" s="182"/>
      <c r="G11" s="5">
        <f t="shared" si="0"/>
        <v>0</v>
      </c>
      <c r="H11" s="22">
        <f t="shared" si="1"/>
        <v>0</v>
      </c>
      <c r="I11" s="6">
        <f t="shared" si="6"/>
        <v>0</v>
      </c>
      <c r="J11" s="6">
        <f t="shared" si="7"/>
        <v>0</v>
      </c>
      <c r="K11" s="23">
        <f t="shared" si="8"/>
        <v>0</v>
      </c>
      <c r="L11" s="219"/>
      <c r="M11" s="220"/>
      <c r="N11" s="219"/>
      <c r="O11" s="220"/>
      <c r="P11" s="39">
        <f t="shared" si="9"/>
        <v>0</v>
      </c>
      <c r="Q11" s="71"/>
      <c r="R11" s="94">
        <f t="shared" si="2"/>
        <v>0</v>
      </c>
      <c r="S11" s="94" t="b">
        <f t="shared" si="10"/>
        <v>0</v>
      </c>
      <c r="T11" s="24"/>
      <c r="U11" s="25"/>
      <c r="V11" s="109">
        <v>0</v>
      </c>
      <c r="W11" s="114">
        <f t="shared" si="3"/>
        <v>46123</v>
      </c>
      <c r="X11" s="21" t="str">
        <f t="shared" si="11"/>
        <v>Sa</v>
      </c>
    </row>
    <row r="12" spans="2:32" x14ac:dyDescent="0.25">
      <c r="B12" s="21" t="str">
        <f t="shared" si="4"/>
        <v>So</v>
      </c>
      <c r="C12" s="1">
        <f t="shared" si="5"/>
        <v>7</v>
      </c>
      <c r="D12" s="3">
        <f t="shared" si="12"/>
        <v>46124</v>
      </c>
      <c r="E12" s="181"/>
      <c r="F12" s="182"/>
      <c r="G12" s="5">
        <f t="shared" si="0"/>
        <v>0</v>
      </c>
      <c r="H12" s="22">
        <f t="shared" si="1"/>
        <v>0</v>
      </c>
      <c r="I12" s="6">
        <f t="shared" si="6"/>
        <v>0</v>
      </c>
      <c r="J12" s="6">
        <f t="shared" si="7"/>
        <v>0</v>
      </c>
      <c r="K12" s="23">
        <f t="shared" si="8"/>
        <v>0</v>
      </c>
      <c r="L12" s="219"/>
      <c r="M12" s="220"/>
      <c r="N12" s="219"/>
      <c r="O12" s="220"/>
      <c r="P12" s="39">
        <f t="shared" si="9"/>
        <v>0</v>
      </c>
      <c r="Q12" s="71"/>
      <c r="R12" s="94">
        <f t="shared" si="2"/>
        <v>0</v>
      </c>
      <c r="S12" s="94" t="b">
        <f t="shared" si="10"/>
        <v>0</v>
      </c>
      <c r="T12" s="24"/>
      <c r="U12" s="25"/>
      <c r="V12" s="109">
        <v>0</v>
      </c>
      <c r="W12" s="114">
        <f t="shared" si="3"/>
        <v>46124</v>
      </c>
      <c r="X12" s="21" t="str">
        <f t="shared" si="11"/>
        <v>So</v>
      </c>
    </row>
    <row r="13" spans="2:32" x14ac:dyDescent="0.25">
      <c r="F13" s="183"/>
      <c r="G13" s="18"/>
      <c r="H13" s="18"/>
      <c r="I13" s="19"/>
      <c r="J13" s="19"/>
      <c r="K13" s="18"/>
      <c r="L13" s="18"/>
      <c r="M13" s="18"/>
      <c r="N13" s="20"/>
      <c r="O13" s="20"/>
      <c r="P13" s="18"/>
      <c r="Q13" s="145">
        <f>D6</f>
        <v>46118</v>
      </c>
      <c r="R13" s="145">
        <f>D7</f>
        <v>46119</v>
      </c>
      <c r="S13" s="145">
        <f>D8</f>
        <v>46120</v>
      </c>
      <c r="T13" s="145">
        <f>D9</f>
        <v>46121</v>
      </c>
      <c r="U13" s="145">
        <f>D10</f>
        <v>46122</v>
      </c>
      <c r="V13" s="145">
        <f>D11</f>
        <v>46123</v>
      </c>
      <c r="W13" s="145">
        <f>D12</f>
        <v>46124</v>
      </c>
      <c r="Z13" s="84" t="s">
        <v>208</v>
      </c>
      <c r="AA13" s="85"/>
      <c r="AB13" s="85"/>
      <c r="AC13" s="85"/>
      <c r="AD13" s="85"/>
      <c r="AE13" s="85"/>
      <c r="AF13" s="86"/>
    </row>
    <row r="14" spans="2:32" x14ac:dyDescent="0.25">
      <c r="D14" s="51" t="s">
        <v>30</v>
      </c>
      <c r="E14" s="184" t="s">
        <v>8</v>
      </c>
      <c r="F14" s="184" t="s">
        <v>97</v>
      </c>
      <c r="G14" s="8" t="s">
        <v>98</v>
      </c>
      <c r="H14" s="51" t="s">
        <v>9</v>
      </c>
      <c r="I14" s="8" t="s">
        <v>10</v>
      </c>
      <c r="J14" s="8" t="s">
        <v>11</v>
      </c>
      <c r="K14" s="8" t="s">
        <v>99</v>
      </c>
      <c r="L14" s="8" t="s">
        <v>100</v>
      </c>
      <c r="M14" s="8" t="s">
        <v>101</v>
      </c>
      <c r="N14" s="8" t="s">
        <v>102</v>
      </c>
      <c r="O14" s="8"/>
      <c r="P14" s="8" t="s">
        <v>90</v>
      </c>
      <c r="Q14" s="8" t="s">
        <v>60</v>
      </c>
      <c r="R14" s="8" t="s">
        <v>61</v>
      </c>
      <c r="S14" s="8" t="s">
        <v>62</v>
      </c>
      <c r="T14" s="8" t="s">
        <v>63</v>
      </c>
      <c r="U14" s="8" t="s">
        <v>64</v>
      </c>
      <c r="V14" s="8" t="s">
        <v>65</v>
      </c>
      <c r="W14" s="8" t="s">
        <v>66</v>
      </c>
      <c r="Z14" s="8" t="s">
        <v>60</v>
      </c>
      <c r="AA14" s="8" t="s">
        <v>61</v>
      </c>
      <c r="AB14" s="8" t="s">
        <v>62</v>
      </c>
      <c r="AC14" s="8" t="s">
        <v>63</v>
      </c>
      <c r="AD14" s="8" t="s">
        <v>64</v>
      </c>
      <c r="AE14" s="8" t="s">
        <v>65</v>
      </c>
      <c r="AF14" s="8" t="s">
        <v>66</v>
      </c>
    </row>
    <row r="15" spans="2:32" x14ac:dyDescent="0.25">
      <c r="D15" s="1" t="s">
        <v>95</v>
      </c>
      <c r="E15" s="179"/>
      <c r="F15" s="179"/>
      <c r="G15" s="1"/>
      <c r="H15" s="42"/>
      <c r="I15" s="42" t="str">
        <f>IF($D15="","",IF(VLOOKUP($D15,TaskNEU!$B$3:$D$36,3,FALSE)="","",VLOOKUP($D15,TaskNEU!$B$3:$D$36,3,FALSE)))</f>
        <v/>
      </c>
      <c r="J15" s="1"/>
      <c r="K15" s="1"/>
      <c r="L15" s="1"/>
      <c r="M15" s="1"/>
      <c r="N15" s="1"/>
      <c r="O15" s="1"/>
      <c r="P15" s="91">
        <f>SUM(Q15:W15)</f>
        <v>0</v>
      </c>
      <c r="Q15" s="91"/>
      <c r="R15" s="91"/>
      <c r="S15" s="91"/>
      <c r="T15" s="91"/>
      <c r="U15" s="91"/>
      <c r="V15" s="91"/>
      <c r="W15" s="91"/>
      <c r="Z15" s="123"/>
      <c r="AA15" s="123"/>
      <c r="AB15" s="123"/>
      <c r="AC15" s="123"/>
      <c r="AD15" s="123"/>
      <c r="AE15" s="123"/>
      <c r="AF15" s="123"/>
    </row>
    <row r="16" spans="2:32" x14ac:dyDescent="0.25">
      <c r="D16" s="1"/>
      <c r="E16" s="179"/>
      <c r="F16" s="179"/>
      <c r="G16" s="1"/>
      <c r="H16" s="42"/>
      <c r="I16" s="42"/>
      <c r="J16" s="92"/>
      <c r="K16" s="1"/>
      <c r="L16" s="1"/>
      <c r="M16" s="1"/>
      <c r="N16" s="1"/>
      <c r="O16" s="1"/>
      <c r="P16" s="91">
        <f>SUM(Q16:W16)</f>
        <v>0</v>
      </c>
      <c r="Q16" s="91"/>
      <c r="R16" s="91"/>
      <c r="S16" s="91"/>
      <c r="T16" s="91"/>
      <c r="U16" s="91"/>
      <c r="V16" s="91"/>
      <c r="W16" s="91"/>
      <c r="Z16" s="123"/>
      <c r="AA16" s="123"/>
      <c r="AB16" s="123"/>
      <c r="AC16" s="123"/>
      <c r="AD16" s="123"/>
      <c r="AE16" s="123"/>
      <c r="AF16" s="123"/>
    </row>
    <row r="17" spans="2:32" x14ac:dyDescent="0.25">
      <c r="D17" s="1"/>
      <c r="E17" s="184"/>
      <c r="F17" s="184"/>
      <c r="G17" s="8"/>
      <c r="H17" s="51"/>
      <c r="I17" s="8"/>
      <c r="J17" s="8"/>
      <c r="K17" s="8"/>
      <c r="L17" s="8"/>
      <c r="M17" s="8"/>
      <c r="N17" s="8"/>
      <c r="O17" s="8"/>
      <c r="P17" s="91">
        <f>SUM(Q17:W17)</f>
        <v>0</v>
      </c>
      <c r="Q17" s="41">
        <v>0</v>
      </c>
      <c r="R17" s="41">
        <v>0</v>
      </c>
      <c r="S17" s="41">
        <v>0</v>
      </c>
      <c r="T17" s="41">
        <v>0</v>
      </c>
      <c r="U17" s="41">
        <v>0</v>
      </c>
      <c r="V17" s="41">
        <v>0</v>
      </c>
      <c r="W17" s="41">
        <v>0</v>
      </c>
      <c r="Z17" s="124"/>
      <c r="AA17" s="124"/>
      <c r="AB17" s="124"/>
      <c r="AC17" s="124"/>
      <c r="AD17" s="124"/>
      <c r="AE17" s="124"/>
      <c r="AF17" s="124"/>
    </row>
    <row r="18" spans="2:32" x14ac:dyDescent="0.25">
      <c r="D18" s="1"/>
      <c r="E18" s="184" t="str">
        <f t="shared" ref="E18:E27" si="13">IF(D18="","","1010V07213")</f>
        <v/>
      </c>
      <c r="F18" s="184" t="str">
        <f t="shared" ref="F18:F27" si="14">IF(D18="","","1000")</f>
        <v/>
      </c>
      <c r="G18" s="8" t="str">
        <f t="shared" ref="G18:G27" si="15">IF(D18="","","310")</f>
        <v/>
      </c>
      <c r="H18" s="51"/>
      <c r="I18" s="8" t="str">
        <f>IF($D18="","",IF(VLOOKUP($D18,TaskNEU!$B$3:$D$36,3,FALSE)="","",VLOOKUP($D18,TaskNEU!$B$3:$D$36,3,FALSE)))</f>
        <v/>
      </c>
      <c r="J18" s="8" t="str">
        <f>IF($D18="","",IF(VLOOKUP($D18,TaskNEU!$B$10:$E$36,2,FALSE)="","",VLOOKUP($D18,TaskNEU!$B$10:$E$36,2,FALSE)))</f>
        <v/>
      </c>
      <c r="K18" s="8"/>
      <c r="L18" s="8" t="str">
        <f>IF($D18="","",IF(VLOOKUP($D18,TaskNEU!$B$10:$E$36,4,FALSE)="","",VLOOKUP($D18,TaskNEU!$B$10:$E$36,4,FALSE)))</f>
        <v/>
      </c>
      <c r="M18" s="8"/>
      <c r="N18" s="8" t="str">
        <f t="shared" ref="N18:N27" si="16">IF(D18="","","A238")</f>
        <v/>
      </c>
      <c r="O18" s="8"/>
      <c r="P18" s="91">
        <f t="shared" ref="P18:P27" si="17">SUM(Q18:W18)</f>
        <v>0</v>
      </c>
      <c r="Q18" s="41">
        <v>0</v>
      </c>
      <c r="R18" s="41">
        <v>0</v>
      </c>
      <c r="S18" s="41">
        <v>0</v>
      </c>
      <c r="T18" s="41">
        <v>0</v>
      </c>
      <c r="U18" s="41">
        <v>0</v>
      </c>
      <c r="V18" s="41">
        <v>0</v>
      </c>
      <c r="W18" s="41">
        <v>0</v>
      </c>
      <c r="Z18" s="124"/>
      <c r="AA18" s="124"/>
      <c r="AB18" s="124"/>
      <c r="AC18" s="124"/>
      <c r="AD18" s="124"/>
      <c r="AE18" s="124"/>
      <c r="AF18" s="124"/>
    </row>
    <row r="19" spans="2:32" x14ac:dyDescent="0.25">
      <c r="D19" s="1"/>
      <c r="E19" s="184" t="str">
        <f t="shared" si="13"/>
        <v/>
      </c>
      <c r="F19" s="184" t="str">
        <f t="shared" si="14"/>
        <v/>
      </c>
      <c r="G19" s="8" t="str">
        <f t="shared" si="15"/>
        <v/>
      </c>
      <c r="H19" s="51"/>
      <c r="I19" s="8" t="str">
        <f>IF($D19="","",IF(VLOOKUP($D19,TaskNEU!$B$3:$D$36,3,FALSE)="","",VLOOKUP($D19,TaskNEU!$B$3:$D$36,3,FALSE)))</f>
        <v/>
      </c>
      <c r="J19" s="8" t="str">
        <f>IF($D19="","",IF(VLOOKUP($D19,TaskNEU!$B$10:$E$36,2,FALSE)="","",VLOOKUP($D19,TaskNEU!$B$10:$E$36,2,FALSE)))</f>
        <v/>
      </c>
      <c r="K19" s="8"/>
      <c r="L19" s="8" t="str">
        <f>IF($D19="","",IF(VLOOKUP($D19,TaskNEU!$B$10:$E$36,4,FALSE)="","",VLOOKUP($D19,TaskNEU!$B$10:$E$36,4,FALSE)))</f>
        <v/>
      </c>
      <c r="M19" s="8"/>
      <c r="N19" s="8" t="str">
        <f t="shared" si="16"/>
        <v/>
      </c>
      <c r="O19" s="8"/>
      <c r="P19" s="91">
        <f t="shared" si="17"/>
        <v>0</v>
      </c>
      <c r="Q19" s="41">
        <v>0</v>
      </c>
      <c r="R19" s="41">
        <v>0</v>
      </c>
      <c r="S19" s="41">
        <v>0</v>
      </c>
      <c r="T19" s="41">
        <v>0</v>
      </c>
      <c r="U19" s="41">
        <v>0</v>
      </c>
      <c r="V19" s="41">
        <v>0</v>
      </c>
      <c r="W19" s="41">
        <v>0</v>
      </c>
      <c r="Z19" s="124"/>
      <c r="AA19" s="124"/>
      <c r="AB19" s="124"/>
      <c r="AC19" s="124"/>
      <c r="AD19" s="124"/>
      <c r="AE19" s="124"/>
      <c r="AF19" s="124"/>
    </row>
    <row r="20" spans="2:32" x14ac:dyDescent="0.25">
      <c r="D20" s="1"/>
      <c r="E20" s="184" t="str">
        <f t="shared" si="13"/>
        <v/>
      </c>
      <c r="F20" s="184" t="str">
        <f t="shared" si="14"/>
        <v/>
      </c>
      <c r="G20" s="8" t="str">
        <f t="shared" si="15"/>
        <v/>
      </c>
      <c r="H20" s="51"/>
      <c r="I20" s="8" t="str">
        <f>IF($D20="","",IF(VLOOKUP($D20,TaskNEU!$B$3:$D$36,3,FALSE)="","",VLOOKUP($D20,TaskNEU!$B$3:$D$36,3,FALSE)))</f>
        <v/>
      </c>
      <c r="J20" s="8" t="str">
        <f>IF($D20="","",IF(VLOOKUP($D20,TaskNEU!$B$10:$E$36,2,FALSE)="","",VLOOKUP($D20,TaskNEU!$B$10:$E$36,2,FALSE)))</f>
        <v/>
      </c>
      <c r="K20" s="8"/>
      <c r="L20" s="8" t="str">
        <f>IF($D20="","",IF(VLOOKUP($D20,TaskNEU!$B$10:$E$36,4,FALSE)="","",VLOOKUP($D20,TaskNEU!$B$10:$E$36,4,FALSE)))</f>
        <v/>
      </c>
      <c r="M20" s="8"/>
      <c r="N20" s="8" t="str">
        <f t="shared" si="16"/>
        <v/>
      </c>
      <c r="O20" s="8"/>
      <c r="P20" s="91">
        <f t="shared" si="17"/>
        <v>0</v>
      </c>
      <c r="Q20" s="41">
        <v>0</v>
      </c>
      <c r="R20" s="41">
        <v>0</v>
      </c>
      <c r="S20" s="41">
        <v>0</v>
      </c>
      <c r="T20" s="41">
        <v>0</v>
      </c>
      <c r="U20" s="41">
        <v>0</v>
      </c>
      <c r="V20" s="41">
        <v>0</v>
      </c>
      <c r="W20" s="41">
        <v>0</v>
      </c>
      <c r="Z20" s="124"/>
      <c r="AA20" s="124"/>
      <c r="AB20" s="124"/>
      <c r="AC20" s="124"/>
      <c r="AD20" s="124"/>
      <c r="AE20" s="124"/>
      <c r="AF20" s="124"/>
    </row>
    <row r="21" spans="2:32" x14ac:dyDescent="0.25">
      <c r="D21" s="1"/>
      <c r="E21" s="184" t="str">
        <f t="shared" si="13"/>
        <v/>
      </c>
      <c r="F21" s="184" t="str">
        <f t="shared" si="14"/>
        <v/>
      </c>
      <c r="G21" s="8" t="str">
        <f t="shared" si="15"/>
        <v/>
      </c>
      <c r="H21" s="51"/>
      <c r="I21" s="8" t="str">
        <f>IF($D21="","",IF(VLOOKUP($D21,TaskNEU!$B$3:$D$36,3,FALSE)="","",VLOOKUP($D21,TaskNEU!$B$3:$D$36,3,FALSE)))</f>
        <v/>
      </c>
      <c r="J21" s="8" t="str">
        <f>IF($D21="","",IF(VLOOKUP($D21,TaskNEU!$B$10:$E$36,2,FALSE)="","",VLOOKUP($D21,TaskNEU!$B$10:$E$36,2,FALSE)))</f>
        <v/>
      </c>
      <c r="K21" s="8"/>
      <c r="L21" s="8" t="str">
        <f>IF($D21="","",IF(VLOOKUP($D21,TaskNEU!$B$10:$E$36,4,FALSE)="","",VLOOKUP($D21,TaskNEU!$B$10:$E$36,4,FALSE)))</f>
        <v/>
      </c>
      <c r="M21" s="8"/>
      <c r="N21" s="8" t="str">
        <f t="shared" si="16"/>
        <v/>
      </c>
      <c r="O21" s="8"/>
      <c r="P21" s="91">
        <f t="shared" si="17"/>
        <v>0</v>
      </c>
      <c r="Q21" s="41">
        <v>0</v>
      </c>
      <c r="R21" s="41">
        <v>0</v>
      </c>
      <c r="S21" s="41">
        <v>0</v>
      </c>
      <c r="T21" s="41">
        <v>0</v>
      </c>
      <c r="U21" s="41">
        <v>0</v>
      </c>
      <c r="V21" s="41">
        <v>0</v>
      </c>
      <c r="W21" s="41">
        <v>0</v>
      </c>
      <c r="Z21" s="124"/>
      <c r="AA21" s="124"/>
      <c r="AB21" s="124"/>
      <c r="AC21" s="124"/>
      <c r="AD21" s="124"/>
      <c r="AE21" s="124"/>
      <c r="AF21" s="124"/>
    </row>
    <row r="22" spans="2:32" x14ac:dyDescent="0.25">
      <c r="D22" s="1"/>
      <c r="E22" s="184" t="str">
        <f t="shared" si="13"/>
        <v/>
      </c>
      <c r="F22" s="184" t="str">
        <f t="shared" si="14"/>
        <v/>
      </c>
      <c r="G22" s="8" t="str">
        <f t="shared" si="15"/>
        <v/>
      </c>
      <c r="H22" s="51"/>
      <c r="I22" s="8" t="str">
        <f>IF($D22="","",IF(VLOOKUP($D22,TaskNEU!$B$3:$D$36,3,FALSE)="","",VLOOKUP($D22,TaskNEU!$B$3:$D$36,3,FALSE)))</f>
        <v/>
      </c>
      <c r="J22" s="8" t="str">
        <f>IF($D22="","",IF(VLOOKUP($D22,TaskNEU!$B$10:$E$36,2,FALSE)="","",VLOOKUP($D22,TaskNEU!$B$10:$E$36,2,FALSE)))</f>
        <v/>
      </c>
      <c r="K22" s="8"/>
      <c r="L22" s="8" t="str">
        <f>IF($D22="","",IF(VLOOKUP($D22,TaskNEU!$B$10:$E$36,4,FALSE)="","",VLOOKUP($D22,TaskNEU!$B$10:$E$36,4,FALSE)))</f>
        <v/>
      </c>
      <c r="M22" s="8"/>
      <c r="N22" s="8" t="str">
        <f t="shared" si="16"/>
        <v/>
      </c>
      <c r="O22" s="8"/>
      <c r="P22" s="91">
        <f t="shared" si="17"/>
        <v>0</v>
      </c>
      <c r="Q22" s="41">
        <v>0</v>
      </c>
      <c r="R22" s="41">
        <v>0</v>
      </c>
      <c r="S22" s="41">
        <v>0</v>
      </c>
      <c r="T22" s="41">
        <v>0</v>
      </c>
      <c r="U22" s="41">
        <v>0</v>
      </c>
      <c r="V22" s="41">
        <v>0</v>
      </c>
      <c r="W22" s="41">
        <v>0</v>
      </c>
      <c r="Z22" s="124"/>
      <c r="AA22" s="124"/>
      <c r="AB22" s="124"/>
      <c r="AC22" s="124"/>
      <c r="AD22" s="124"/>
      <c r="AE22" s="124"/>
      <c r="AF22" s="124"/>
    </row>
    <row r="23" spans="2:32" x14ac:dyDescent="0.25">
      <c r="D23" s="1"/>
      <c r="E23" s="184" t="str">
        <f t="shared" si="13"/>
        <v/>
      </c>
      <c r="F23" s="184" t="str">
        <f t="shared" si="14"/>
        <v/>
      </c>
      <c r="G23" s="8" t="str">
        <f t="shared" si="15"/>
        <v/>
      </c>
      <c r="H23" s="51"/>
      <c r="I23" s="8" t="str">
        <f>IF($D23="","",IF(VLOOKUP($D23,TaskNEU!$B$3:$D$36,3,FALSE)="","",VLOOKUP($D23,TaskNEU!$B$3:$D$36,3,FALSE)))</f>
        <v/>
      </c>
      <c r="J23" s="8" t="str">
        <f>IF($D23="","",IF(VLOOKUP($D23,TaskNEU!$B$10:$E$36,2,FALSE)="","",VLOOKUP($D23,TaskNEU!$B$10:$E$36,2,FALSE)))</f>
        <v/>
      </c>
      <c r="K23" s="8"/>
      <c r="L23" s="8" t="str">
        <f>IF($D23="","",IF(VLOOKUP($D23,TaskNEU!$B$10:$E$36,4,FALSE)="","",VLOOKUP($D23,TaskNEU!$B$10:$E$36,4,FALSE)))</f>
        <v/>
      </c>
      <c r="M23" s="8"/>
      <c r="N23" s="8" t="str">
        <f t="shared" si="16"/>
        <v/>
      </c>
      <c r="O23" s="8"/>
      <c r="P23" s="91">
        <f t="shared" si="17"/>
        <v>0</v>
      </c>
      <c r="Q23" s="41">
        <v>0</v>
      </c>
      <c r="R23" s="41">
        <v>0</v>
      </c>
      <c r="S23" s="41">
        <v>0</v>
      </c>
      <c r="T23" s="41">
        <v>0</v>
      </c>
      <c r="U23" s="41">
        <v>0</v>
      </c>
      <c r="V23" s="41">
        <v>0</v>
      </c>
      <c r="W23" s="41">
        <v>0</v>
      </c>
      <c r="Z23" s="124"/>
      <c r="AA23" s="124"/>
      <c r="AB23" s="124"/>
      <c r="AC23" s="124"/>
      <c r="AD23" s="124"/>
      <c r="AE23" s="124"/>
      <c r="AF23" s="124"/>
    </row>
    <row r="24" spans="2:32" x14ac:dyDescent="0.25">
      <c r="D24" s="1"/>
      <c r="E24" s="184" t="str">
        <f t="shared" si="13"/>
        <v/>
      </c>
      <c r="F24" s="184" t="str">
        <f t="shared" si="14"/>
        <v/>
      </c>
      <c r="G24" s="8" t="str">
        <f t="shared" si="15"/>
        <v/>
      </c>
      <c r="H24" s="51"/>
      <c r="I24" s="8" t="str">
        <f>IF($D24="","",IF(VLOOKUP($D24,TaskNEU!$B$3:$D$36,3,FALSE)="","",VLOOKUP($D24,TaskNEU!$B$3:$D$36,3,FALSE)))</f>
        <v/>
      </c>
      <c r="J24" s="8" t="str">
        <f>IF($D24="","",IF(VLOOKUP($D24,TaskNEU!$B$10:$E$36,2,FALSE)="","",VLOOKUP($D24,TaskNEU!$B$10:$E$36,2,FALSE)))</f>
        <v/>
      </c>
      <c r="K24" s="8"/>
      <c r="L24" s="8" t="str">
        <f>IF($D24="","",IF(VLOOKUP($D24,TaskNEU!$B$10:$E$36,4,FALSE)="","",VLOOKUP($D24,TaskNEU!$B$10:$E$36,4,FALSE)))</f>
        <v/>
      </c>
      <c r="M24" s="8"/>
      <c r="N24" s="8" t="str">
        <f t="shared" si="16"/>
        <v/>
      </c>
      <c r="O24" s="8"/>
      <c r="P24" s="91">
        <f t="shared" si="17"/>
        <v>0</v>
      </c>
      <c r="Q24" s="41">
        <v>0</v>
      </c>
      <c r="R24" s="41">
        <v>0</v>
      </c>
      <c r="S24" s="41">
        <v>0</v>
      </c>
      <c r="T24" s="41">
        <v>0</v>
      </c>
      <c r="U24" s="41">
        <v>0</v>
      </c>
      <c r="V24" s="41">
        <v>0</v>
      </c>
      <c r="W24" s="41">
        <v>0</v>
      </c>
      <c r="Z24" s="124"/>
      <c r="AA24" s="124"/>
      <c r="AB24" s="124"/>
      <c r="AC24" s="124"/>
      <c r="AD24" s="124"/>
      <c r="AE24" s="124"/>
      <c r="AF24" s="124"/>
    </row>
    <row r="25" spans="2:32" x14ac:dyDescent="0.25">
      <c r="D25" s="1"/>
      <c r="E25" s="184" t="str">
        <f t="shared" si="13"/>
        <v/>
      </c>
      <c r="F25" s="184" t="str">
        <f t="shared" si="14"/>
        <v/>
      </c>
      <c r="G25" s="8" t="str">
        <f t="shared" si="15"/>
        <v/>
      </c>
      <c r="H25" s="51"/>
      <c r="I25" s="8" t="str">
        <f>IF($D25="","",IF(VLOOKUP($D25,TaskNEU!$B$3:$D$36,3,FALSE)="","",VLOOKUP($D25,TaskNEU!$B$3:$D$36,3,FALSE)))</f>
        <v/>
      </c>
      <c r="J25" s="8" t="str">
        <f>IF($D25="","",IF(VLOOKUP($D25,TaskNEU!$B$10:$E$36,2,FALSE)="","",VLOOKUP($D25,TaskNEU!$B$10:$E$36,2,FALSE)))</f>
        <v/>
      </c>
      <c r="K25" s="8"/>
      <c r="L25" s="8" t="str">
        <f>IF($D25="","",IF(VLOOKUP($D25,TaskNEU!$B$10:$E$36,4,FALSE)="","",VLOOKUP($D25,TaskNEU!$B$10:$E$36,4,FALSE)))</f>
        <v/>
      </c>
      <c r="M25" s="8"/>
      <c r="N25" s="8" t="str">
        <f t="shared" si="16"/>
        <v/>
      </c>
      <c r="O25" s="8"/>
      <c r="P25" s="91">
        <f t="shared" si="17"/>
        <v>0</v>
      </c>
      <c r="Q25" s="41">
        <v>0</v>
      </c>
      <c r="R25" s="41">
        <v>0</v>
      </c>
      <c r="S25" s="41">
        <v>0</v>
      </c>
      <c r="T25" s="41">
        <v>0</v>
      </c>
      <c r="U25" s="41">
        <v>0</v>
      </c>
      <c r="V25" s="41">
        <v>0</v>
      </c>
      <c r="W25" s="41">
        <v>0</v>
      </c>
      <c r="Z25" s="124"/>
      <c r="AA25" s="124"/>
      <c r="AB25" s="124"/>
      <c r="AC25" s="124"/>
      <c r="AD25" s="124"/>
      <c r="AE25" s="124"/>
      <c r="AF25" s="124"/>
    </row>
    <row r="26" spans="2:32" x14ac:dyDescent="0.25">
      <c r="D26" s="1"/>
      <c r="E26" s="184" t="str">
        <f t="shared" si="13"/>
        <v/>
      </c>
      <c r="F26" s="184" t="str">
        <f t="shared" si="14"/>
        <v/>
      </c>
      <c r="G26" s="8" t="str">
        <f t="shared" si="15"/>
        <v/>
      </c>
      <c r="H26" s="51"/>
      <c r="I26" s="8" t="str">
        <f>IF($D26="","",IF(VLOOKUP($D26,TaskNEU!$B$3:$D$36,3,FALSE)="","",VLOOKUP($D26,TaskNEU!$B$3:$D$36,3,FALSE)))</f>
        <v/>
      </c>
      <c r="J26" s="8" t="str">
        <f>IF($D26="","",IF(VLOOKUP($D26,TaskNEU!$B$10:$E$36,2,FALSE)="","",VLOOKUP($D26,TaskNEU!$B$10:$E$36,2,FALSE)))</f>
        <v/>
      </c>
      <c r="K26" s="8"/>
      <c r="L26" s="8" t="str">
        <f>IF($D26="","",IF(VLOOKUP($D26,TaskNEU!$B$10:$E$36,4,FALSE)="","",VLOOKUP($D26,TaskNEU!$B$10:$E$36,4,FALSE)))</f>
        <v/>
      </c>
      <c r="M26" s="8"/>
      <c r="N26" s="8" t="str">
        <f t="shared" si="16"/>
        <v/>
      </c>
      <c r="O26" s="8"/>
      <c r="P26" s="91">
        <f t="shared" si="17"/>
        <v>0</v>
      </c>
      <c r="Q26" s="41">
        <v>0</v>
      </c>
      <c r="R26" s="41">
        <v>0</v>
      </c>
      <c r="S26" s="41">
        <v>0</v>
      </c>
      <c r="T26" s="41">
        <v>0</v>
      </c>
      <c r="U26" s="41">
        <v>0</v>
      </c>
      <c r="V26" s="41">
        <v>0</v>
      </c>
      <c r="W26" s="41">
        <v>0</v>
      </c>
      <c r="Z26" s="124"/>
      <c r="AA26" s="124"/>
      <c r="AB26" s="124"/>
      <c r="AC26" s="124"/>
      <c r="AD26" s="124"/>
      <c r="AE26" s="124"/>
      <c r="AF26" s="124"/>
    </row>
    <row r="27" spans="2:32" x14ac:dyDescent="0.25">
      <c r="D27" s="1"/>
      <c r="E27" s="184" t="str">
        <f t="shared" si="13"/>
        <v/>
      </c>
      <c r="F27" s="184" t="str">
        <f t="shared" si="14"/>
        <v/>
      </c>
      <c r="G27" s="8" t="str">
        <f t="shared" si="15"/>
        <v/>
      </c>
      <c r="H27" s="51"/>
      <c r="I27" s="8" t="str">
        <f>IF($D27="","",IF(VLOOKUP($D27,TaskNEU!$B$3:$D$36,3,FALSE)="","",VLOOKUP($D27,TaskNEU!$B$3:$D$36,3,FALSE)))</f>
        <v/>
      </c>
      <c r="J27" s="8" t="str">
        <f>IF($D27="","",IF(VLOOKUP($D27,TaskNEU!$B$10:$E$36,2,FALSE)="","",VLOOKUP($D27,TaskNEU!$B$10:$E$36,2,FALSE)))</f>
        <v/>
      </c>
      <c r="K27" s="8"/>
      <c r="L27" s="8" t="str">
        <f>IF($D27="","",IF(VLOOKUP($D27,TaskNEU!$B$10:$E$36,4,FALSE)="","",VLOOKUP($D27,TaskNEU!$B$10:$E$36,4,FALSE)))</f>
        <v/>
      </c>
      <c r="M27" s="8"/>
      <c r="N27" s="8" t="str">
        <f t="shared" si="16"/>
        <v/>
      </c>
      <c r="O27" s="8"/>
      <c r="P27" s="91">
        <f t="shared" si="17"/>
        <v>0</v>
      </c>
      <c r="Q27" s="41">
        <v>0</v>
      </c>
      <c r="R27" s="41">
        <v>0</v>
      </c>
      <c r="S27" s="41">
        <v>0</v>
      </c>
      <c r="T27" s="41">
        <v>0</v>
      </c>
      <c r="U27" s="41">
        <v>0</v>
      </c>
      <c r="V27" s="41">
        <v>0</v>
      </c>
      <c r="W27" s="41">
        <v>0</v>
      </c>
      <c r="Z27" s="124"/>
      <c r="AA27" s="124"/>
      <c r="AB27" s="124"/>
      <c r="AC27" s="124"/>
      <c r="AD27" s="124"/>
      <c r="AE27" s="124"/>
      <c r="AF27" s="124"/>
    </row>
    <row r="28" spans="2:32" ht="15.75" thickBot="1" x14ac:dyDescent="0.3">
      <c r="D28" s="56"/>
      <c r="E28" s="186"/>
      <c r="F28" s="186"/>
      <c r="G28" s="56"/>
      <c r="H28" s="56"/>
      <c r="I28" s="56"/>
      <c r="J28" s="56"/>
      <c r="K28" s="56"/>
      <c r="L28" s="56"/>
      <c r="M28" s="56"/>
      <c r="N28" s="56"/>
      <c r="O28" s="56"/>
      <c r="P28" s="73">
        <f>SUM(Q15:W27)</f>
        <v>0</v>
      </c>
      <c r="Q28" s="72">
        <f>SUM(Q15:Q27)</f>
        <v>0</v>
      </c>
      <c r="R28" s="72">
        <f t="shared" ref="R28:W28" si="18">SUM(R15:R27)</f>
        <v>0</v>
      </c>
      <c r="S28" s="72">
        <f t="shared" si="18"/>
        <v>0</v>
      </c>
      <c r="T28" s="72">
        <f t="shared" si="18"/>
        <v>0</v>
      </c>
      <c r="U28" s="72">
        <f t="shared" si="18"/>
        <v>0</v>
      </c>
      <c r="V28" s="72">
        <f t="shared" si="18"/>
        <v>0</v>
      </c>
      <c r="W28" s="72">
        <f t="shared" si="18"/>
        <v>0</v>
      </c>
      <c r="X28" s="118"/>
      <c r="Y28" s="56"/>
      <c r="Z28" s="56"/>
      <c r="AA28" s="56"/>
      <c r="AB28" s="56"/>
      <c r="AC28" s="56"/>
      <c r="AD28" s="56"/>
      <c r="AE28" s="56"/>
      <c r="AF28" s="56"/>
    </row>
    <row r="31" spans="2:32" ht="15.75" thickBot="1" x14ac:dyDescent="0.3"/>
    <row r="32" spans="2:32" x14ac:dyDescent="0.25">
      <c r="B32" s="55"/>
      <c r="C32" s="55"/>
      <c r="D32" s="55"/>
      <c r="E32" s="178"/>
      <c r="F32" s="178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</row>
    <row r="33" spans="2:32" x14ac:dyDescent="0.25">
      <c r="B33" s="57"/>
      <c r="C33" s="58"/>
      <c r="D33" s="1" t="s">
        <v>40</v>
      </c>
      <c r="E33" s="179">
        <v>6</v>
      </c>
      <c r="F33" s="179" t="s">
        <v>0</v>
      </c>
      <c r="G33" s="2">
        <f>SUM(I36:I42)</f>
        <v>1.6631944444444444</v>
      </c>
      <c r="H33" s="221" t="s">
        <v>1</v>
      </c>
      <c r="I33" s="222"/>
      <c r="J33" s="2">
        <f>SUM(J36:J42)</f>
        <v>1.6631944444444444</v>
      </c>
      <c r="K33" s="67"/>
      <c r="L33" s="68"/>
      <c r="M33" s="35"/>
      <c r="N33" s="40" t="s">
        <v>57</v>
      </c>
      <c r="O33" s="8"/>
    </row>
    <row r="34" spans="2:32" x14ac:dyDescent="0.25">
      <c r="B34" s="59"/>
      <c r="C34" s="60"/>
      <c r="D34" s="1"/>
      <c r="E34" s="179"/>
      <c r="F34" s="180" t="s">
        <v>48</v>
      </c>
      <c r="G34" s="2">
        <f>SUM(Q36:Q42)/24</f>
        <v>0</v>
      </c>
      <c r="H34" s="52"/>
      <c r="I34" s="21" t="s">
        <v>58</v>
      </c>
      <c r="J34" s="2">
        <f>P58/24</f>
        <v>0</v>
      </c>
      <c r="K34" s="67"/>
      <c r="L34" s="69"/>
      <c r="M34" s="7"/>
      <c r="O34" s="8" t="s">
        <v>191</v>
      </c>
      <c r="Q34" s="93">
        <f>SUM(Q36:Q42)</f>
        <v>0</v>
      </c>
      <c r="R34" s="93">
        <f>SUM(R36:R42)</f>
        <v>0.83333333333333215</v>
      </c>
      <c r="S34" s="93">
        <f>SUM(S36:S42)</f>
        <v>0.91666666666666696</v>
      </c>
      <c r="T34" s="110" t="s">
        <v>188</v>
      </c>
      <c r="U34" s="58"/>
      <c r="V34" s="112" t="s">
        <v>189</v>
      </c>
    </row>
    <row r="35" spans="2:32" x14ac:dyDescent="0.25">
      <c r="B35" s="61"/>
      <c r="C35" s="62"/>
      <c r="D35" s="1" t="s">
        <v>2</v>
      </c>
      <c r="E35" s="179" t="s">
        <v>3</v>
      </c>
      <c r="F35" s="179" t="s">
        <v>4</v>
      </c>
      <c r="G35" s="1" t="s">
        <v>5</v>
      </c>
      <c r="H35" s="52" t="s">
        <v>6</v>
      </c>
      <c r="I35" s="52" t="s">
        <v>7</v>
      </c>
      <c r="J35" s="52" t="s">
        <v>45</v>
      </c>
      <c r="K35" s="1" t="s">
        <v>44</v>
      </c>
      <c r="L35" s="219" t="s">
        <v>21</v>
      </c>
      <c r="M35" s="220"/>
      <c r="N35" s="219" t="s">
        <v>18</v>
      </c>
      <c r="O35" s="220"/>
      <c r="P35" s="42" t="s">
        <v>56</v>
      </c>
      <c r="Q35" s="93" t="s">
        <v>138</v>
      </c>
      <c r="R35" s="52" t="s">
        <v>139</v>
      </c>
      <c r="S35" s="52" t="s">
        <v>140</v>
      </c>
      <c r="T35" s="111" t="s">
        <v>187</v>
      </c>
      <c r="U35" s="62"/>
      <c r="V35" s="113" t="s">
        <v>118</v>
      </c>
    </row>
    <row r="36" spans="2:32" x14ac:dyDescent="0.25">
      <c r="B36" s="21" t="str">
        <f>IF(C36=1,"Mo",IF(C36=2,"Di",IF(C36=3,"Mi",IF(C36=4,"Do",IF(C36=5,"Fr",IF(C36=6,"Sa",IF(C36=7,"So","")))))))</f>
        <v>Mo</v>
      </c>
      <c r="C36" s="1">
        <f>WEEKDAY(D36,2)</f>
        <v>1</v>
      </c>
      <c r="D36" s="3">
        <v>46055</v>
      </c>
      <c r="E36" s="187">
        <v>0.34722222222222221</v>
      </c>
      <c r="F36" s="188">
        <v>0.72916666666666663</v>
      </c>
      <c r="G36" s="5">
        <f t="shared" ref="G36:G42" si="19">IF(AND(H36&gt;6/24,H36&lt;=9.5/24),0.5/24,IF(H36&gt;9.5/24,0.75/24,0))</f>
        <v>2.0833333333333332E-2</v>
      </c>
      <c r="H36" s="22">
        <f t="shared" ref="H36:H42" si="20">((IF(E36*24&gt;F36*24,F36*24+(24-E36*24),F36*24-E36*24))/24)-(V36/24)</f>
        <v>0.38194444444444448</v>
      </c>
      <c r="I36" s="6">
        <f>H36-G36</f>
        <v>0.36111111111111116</v>
      </c>
      <c r="J36" s="6">
        <f>IF(C36&lt;6,I36,0/24)</f>
        <v>0.36111111111111116</v>
      </c>
      <c r="K36" s="23">
        <f>IF(C36&lt;5,((0.5+8.5+(E36*24))/24),IF(C36=5,((6+(E36*24))/24),))</f>
        <v>0.72222222222222221</v>
      </c>
      <c r="L36" s="219" t="s">
        <v>23</v>
      </c>
      <c r="M36" s="220"/>
      <c r="N36" s="219"/>
      <c r="O36" s="220"/>
      <c r="P36" s="39">
        <f>IF(I36="","",I36*24)</f>
        <v>8.6666666666666679</v>
      </c>
      <c r="Q36" s="71"/>
      <c r="R36" s="94">
        <f t="shared" ref="R36:R42" si="21">IF(C36&lt;5,(IF(P36&gt;8.5,P36-8.5)),IF(C36=5,(IF(P36&gt;6,P36-6)),IF(C36&gt;5,P36)))</f>
        <v>0.16666666666666785</v>
      </c>
      <c r="S36" s="94" t="b">
        <f>IF(C36&lt;5,(IF(P36&lt;8.5,8.5-P36)),IF(C36=5,(IF(P36&lt;6,6-P36))))</f>
        <v>0</v>
      </c>
      <c r="T36" s="24"/>
      <c r="U36" s="25"/>
      <c r="V36" s="109">
        <v>0</v>
      </c>
      <c r="W36" s="114">
        <f t="shared" ref="W36:W42" si="22">D36</f>
        <v>46055</v>
      </c>
      <c r="X36" s="21" t="str">
        <f>B36</f>
        <v>Mo</v>
      </c>
    </row>
    <row r="37" spans="2:32" x14ac:dyDescent="0.25">
      <c r="B37" s="21" t="str">
        <f t="shared" ref="B37:B42" si="23">IF(C37=1,"Mo",IF(C37=2,"Di",IF(C37=3,"Mi",IF(C37=4,"Do",IF(C37=5,"Fr",IF(C37=6,"Sa",IF(C37=7,"So","")))))))</f>
        <v>Di</v>
      </c>
      <c r="C37" s="1">
        <f t="shared" ref="C37:C42" si="24">WEEKDAY(D37,2)</f>
        <v>2</v>
      </c>
      <c r="D37" s="3">
        <f t="shared" ref="D37:D42" si="25">D36+1</f>
        <v>46056</v>
      </c>
      <c r="E37" s="187">
        <v>0.3263888888888889</v>
      </c>
      <c r="F37" s="188">
        <v>0.67361111111111116</v>
      </c>
      <c r="G37" s="5">
        <f t="shared" si="19"/>
        <v>2.0833333333333332E-2</v>
      </c>
      <c r="H37" s="22">
        <f t="shared" si="20"/>
        <v>0.34722222222222227</v>
      </c>
      <c r="I37" s="6">
        <f t="shared" ref="I37:I42" si="26">H37-G37</f>
        <v>0.32638888888888895</v>
      </c>
      <c r="J37" s="6">
        <f t="shared" ref="J37:J42" si="27">IF(C37&lt;6,I37,0/24)</f>
        <v>0.32638888888888895</v>
      </c>
      <c r="K37" s="23">
        <f t="shared" ref="K37:K42" si="28">IF(C37&lt;5,((0.5+8.5+(E37*24))/24),IF(C37=5,((6+(E37*24))/24),))</f>
        <v>0.70138888888888895</v>
      </c>
      <c r="L37" s="219" t="s">
        <v>23</v>
      </c>
      <c r="M37" s="220"/>
      <c r="N37" s="219"/>
      <c r="O37" s="220"/>
      <c r="P37" s="39">
        <f t="shared" ref="P37:P42" si="29">IF(I37="","",I37*24)</f>
        <v>7.8333333333333348</v>
      </c>
      <c r="Q37" s="71"/>
      <c r="R37" s="94" t="b">
        <f t="shared" si="21"/>
        <v>0</v>
      </c>
      <c r="S37" s="94">
        <f t="shared" ref="S37:S42" si="30">IF(C37&lt;5,(IF(P37&lt;8.5,8.5-P37)),IF(C37=5,(IF(P37&lt;6,6-P37))))</f>
        <v>0.66666666666666519</v>
      </c>
      <c r="T37" s="24"/>
      <c r="U37" s="25"/>
      <c r="V37" s="109">
        <v>0</v>
      </c>
      <c r="W37" s="114">
        <f t="shared" si="22"/>
        <v>46056</v>
      </c>
      <c r="X37" s="21" t="str">
        <f t="shared" ref="X37:X42" si="31">B37</f>
        <v>Di</v>
      </c>
    </row>
    <row r="38" spans="2:32" x14ac:dyDescent="0.25">
      <c r="B38" s="21" t="str">
        <f t="shared" si="23"/>
        <v>Mi</v>
      </c>
      <c r="C38" s="1">
        <f t="shared" si="24"/>
        <v>3</v>
      </c>
      <c r="D38" s="3">
        <f t="shared" si="25"/>
        <v>46057</v>
      </c>
      <c r="E38" s="187">
        <v>0.33680555555555558</v>
      </c>
      <c r="F38" s="188">
        <v>0.72569444444444442</v>
      </c>
      <c r="G38" s="5">
        <f t="shared" si="19"/>
        <v>2.0833333333333332E-2</v>
      </c>
      <c r="H38" s="22">
        <f t="shared" si="20"/>
        <v>0.38888888888888878</v>
      </c>
      <c r="I38" s="6">
        <f t="shared" si="26"/>
        <v>0.36805555555555547</v>
      </c>
      <c r="J38" s="6">
        <f t="shared" si="27"/>
        <v>0.36805555555555547</v>
      </c>
      <c r="K38" s="23">
        <f t="shared" si="28"/>
        <v>0.71180555555555569</v>
      </c>
      <c r="L38" s="219" t="s">
        <v>23</v>
      </c>
      <c r="M38" s="220"/>
      <c r="N38" s="219"/>
      <c r="O38" s="220"/>
      <c r="P38" s="39">
        <f t="shared" si="29"/>
        <v>8.8333333333333321</v>
      </c>
      <c r="Q38" s="71"/>
      <c r="R38" s="94">
        <f t="shared" si="21"/>
        <v>0.33333333333333215</v>
      </c>
      <c r="S38" s="94" t="b">
        <f t="shared" si="30"/>
        <v>0</v>
      </c>
      <c r="T38" s="24"/>
      <c r="U38" s="25"/>
      <c r="V38" s="109">
        <v>0</v>
      </c>
      <c r="W38" s="114">
        <f t="shared" si="22"/>
        <v>46057</v>
      </c>
      <c r="X38" s="21" t="str">
        <f t="shared" si="31"/>
        <v>Mi</v>
      </c>
    </row>
    <row r="39" spans="2:32" x14ac:dyDescent="0.25">
      <c r="B39" s="21" t="str">
        <f t="shared" si="23"/>
        <v>Do</v>
      </c>
      <c r="C39" s="1">
        <f t="shared" si="24"/>
        <v>4</v>
      </c>
      <c r="D39" s="3">
        <f t="shared" si="25"/>
        <v>46058</v>
      </c>
      <c r="E39" s="187">
        <v>0.34375</v>
      </c>
      <c r="F39" s="188">
        <v>0.73263888888888884</v>
      </c>
      <c r="G39" s="5">
        <f t="shared" si="19"/>
        <v>2.0833333333333332E-2</v>
      </c>
      <c r="H39" s="22">
        <f t="shared" si="20"/>
        <v>0.38888888888888884</v>
      </c>
      <c r="I39" s="6">
        <f t="shared" si="26"/>
        <v>0.36805555555555552</v>
      </c>
      <c r="J39" s="6">
        <f t="shared" si="27"/>
        <v>0.36805555555555552</v>
      </c>
      <c r="K39" s="23">
        <f t="shared" si="28"/>
        <v>0.71875</v>
      </c>
      <c r="L39" s="219" t="s">
        <v>23</v>
      </c>
      <c r="M39" s="220"/>
      <c r="N39" s="219"/>
      <c r="O39" s="220"/>
      <c r="P39" s="39">
        <f t="shared" si="29"/>
        <v>8.8333333333333321</v>
      </c>
      <c r="Q39" s="71"/>
      <c r="R39" s="94">
        <f t="shared" si="21"/>
        <v>0.33333333333333215</v>
      </c>
      <c r="S39" s="94" t="b">
        <f t="shared" si="30"/>
        <v>0</v>
      </c>
      <c r="T39" s="24"/>
      <c r="U39" s="25"/>
      <c r="V39" s="109">
        <v>0</v>
      </c>
      <c r="W39" s="114">
        <f t="shared" si="22"/>
        <v>46058</v>
      </c>
      <c r="X39" s="21" t="str">
        <f t="shared" si="31"/>
        <v>Do</v>
      </c>
    </row>
    <row r="40" spans="2:32" x14ac:dyDescent="0.25">
      <c r="B40" s="21" t="str">
        <f t="shared" si="23"/>
        <v>Fr</v>
      </c>
      <c r="C40" s="1">
        <f t="shared" si="24"/>
        <v>5</v>
      </c>
      <c r="D40" s="3">
        <f t="shared" si="25"/>
        <v>46059</v>
      </c>
      <c r="E40" s="187">
        <v>0.3576388888888889</v>
      </c>
      <c r="F40" s="188">
        <v>0.59722222222222221</v>
      </c>
      <c r="G40" s="5">
        <f t="shared" si="19"/>
        <v>0</v>
      </c>
      <c r="H40" s="22">
        <f t="shared" si="20"/>
        <v>0.23958333333333326</v>
      </c>
      <c r="I40" s="6">
        <f t="shared" si="26"/>
        <v>0.23958333333333326</v>
      </c>
      <c r="J40" s="6">
        <f t="shared" si="27"/>
        <v>0.23958333333333326</v>
      </c>
      <c r="K40" s="23">
        <f t="shared" si="28"/>
        <v>0.60763888888888895</v>
      </c>
      <c r="L40" s="219" t="s">
        <v>23</v>
      </c>
      <c r="M40" s="220"/>
      <c r="N40" s="219"/>
      <c r="O40" s="220"/>
      <c r="P40" s="39">
        <f t="shared" si="29"/>
        <v>5.7499999999999982</v>
      </c>
      <c r="Q40" s="71"/>
      <c r="R40" s="94" t="b">
        <f t="shared" si="21"/>
        <v>0</v>
      </c>
      <c r="S40" s="94">
        <f t="shared" si="30"/>
        <v>0.25000000000000178</v>
      </c>
      <c r="T40" s="24"/>
      <c r="U40" s="25"/>
      <c r="V40" s="109">
        <v>0</v>
      </c>
      <c r="W40" s="114">
        <f t="shared" si="22"/>
        <v>46059</v>
      </c>
      <c r="X40" s="21" t="str">
        <f t="shared" si="31"/>
        <v>Fr</v>
      </c>
    </row>
    <row r="41" spans="2:32" x14ac:dyDescent="0.25">
      <c r="B41" s="21" t="str">
        <f t="shared" si="23"/>
        <v>Sa</v>
      </c>
      <c r="C41" s="1">
        <f t="shared" si="24"/>
        <v>6</v>
      </c>
      <c r="D41" s="3">
        <f t="shared" si="25"/>
        <v>46060</v>
      </c>
      <c r="E41" s="181"/>
      <c r="F41" s="182"/>
      <c r="G41" s="5">
        <f t="shared" si="19"/>
        <v>0</v>
      </c>
      <c r="H41" s="22">
        <f t="shared" si="20"/>
        <v>0</v>
      </c>
      <c r="I41" s="6">
        <f t="shared" si="26"/>
        <v>0</v>
      </c>
      <c r="J41" s="6">
        <f t="shared" si="27"/>
        <v>0</v>
      </c>
      <c r="K41" s="23">
        <f t="shared" si="28"/>
        <v>0</v>
      </c>
      <c r="L41" s="219"/>
      <c r="M41" s="220"/>
      <c r="N41" s="219"/>
      <c r="O41" s="220"/>
      <c r="P41" s="39">
        <f t="shared" si="29"/>
        <v>0</v>
      </c>
      <c r="Q41" s="71"/>
      <c r="R41" s="94">
        <f t="shared" si="21"/>
        <v>0</v>
      </c>
      <c r="S41" s="94" t="b">
        <f t="shared" si="30"/>
        <v>0</v>
      </c>
      <c r="T41" s="24"/>
      <c r="U41" s="25"/>
      <c r="V41" s="109">
        <v>0</v>
      </c>
      <c r="W41" s="114">
        <f t="shared" si="22"/>
        <v>46060</v>
      </c>
      <c r="X41" s="21" t="str">
        <f t="shared" si="31"/>
        <v>Sa</v>
      </c>
    </row>
    <row r="42" spans="2:32" x14ac:dyDescent="0.25">
      <c r="B42" s="21" t="str">
        <f t="shared" si="23"/>
        <v>So</v>
      </c>
      <c r="C42" s="1">
        <f t="shared" si="24"/>
        <v>7</v>
      </c>
      <c r="D42" s="3">
        <f t="shared" si="25"/>
        <v>46061</v>
      </c>
      <c r="E42" s="181"/>
      <c r="F42" s="182"/>
      <c r="G42" s="5">
        <f t="shared" si="19"/>
        <v>0</v>
      </c>
      <c r="H42" s="22">
        <f t="shared" si="20"/>
        <v>0</v>
      </c>
      <c r="I42" s="6">
        <f t="shared" si="26"/>
        <v>0</v>
      </c>
      <c r="J42" s="6">
        <f t="shared" si="27"/>
        <v>0</v>
      </c>
      <c r="K42" s="23">
        <f t="shared" si="28"/>
        <v>0</v>
      </c>
      <c r="L42" s="219"/>
      <c r="M42" s="220"/>
      <c r="N42" s="219"/>
      <c r="O42" s="220"/>
      <c r="P42" s="39">
        <f t="shared" si="29"/>
        <v>0</v>
      </c>
      <c r="Q42" s="71"/>
      <c r="R42" s="94">
        <f t="shared" si="21"/>
        <v>0</v>
      </c>
      <c r="S42" s="94" t="b">
        <f t="shared" si="30"/>
        <v>0</v>
      </c>
      <c r="T42" s="24"/>
      <c r="U42" s="25"/>
      <c r="V42" s="109">
        <v>0</v>
      </c>
      <c r="W42" s="114">
        <f t="shared" si="22"/>
        <v>46061</v>
      </c>
      <c r="X42" s="21" t="str">
        <f t="shared" si="31"/>
        <v>So</v>
      </c>
    </row>
    <row r="43" spans="2:32" x14ac:dyDescent="0.25">
      <c r="F43" s="183"/>
      <c r="G43" s="18"/>
      <c r="H43" s="18"/>
      <c r="I43" s="19"/>
      <c r="J43" s="19"/>
      <c r="K43" s="18"/>
      <c r="L43" s="18"/>
      <c r="M43" s="18"/>
      <c r="N43" s="20"/>
      <c r="O43" s="20"/>
      <c r="P43" s="18"/>
      <c r="Q43" s="145">
        <f>D36</f>
        <v>46055</v>
      </c>
      <c r="R43" s="145">
        <f>D37</f>
        <v>46056</v>
      </c>
      <c r="S43" s="145">
        <f>D38</f>
        <v>46057</v>
      </c>
      <c r="T43" s="145">
        <f>D39</f>
        <v>46058</v>
      </c>
      <c r="U43" s="145">
        <f>D40</f>
        <v>46059</v>
      </c>
      <c r="V43" s="145">
        <f>D41</f>
        <v>46060</v>
      </c>
      <c r="W43" s="145">
        <f>D42</f>
        <v>46061</v>
      </c>
      <c r="Z43" s="37" t="s">
        <v>208</v>
      </c>
      <c r="AA43" s="153"/>
      <c r="AB43" s="153"/>
      <c r="AC43" s="153"/>
      <c r="AD43" s="153"/>
      <c r="AE43" s="153"/>
      <c r="AF43" s="64"/>
    </row>
    <row r="44" spans="2:32" x14ac:dyDescent="0.25">
      <c r="D44" s="51" t="s">
        <v>30</v>
      </c>
      <c r="E44" s="184" t="s">
        <v>8</v>
      </c>
      <c r="F44" s="184" t="s">
        <v>97</v>
      </c>
      <c r="G44" s="8" t="s">
        <v>98</v>
      </c>
      <c r="H44" s="51" t="s">
        <v>9</v>
      </c>
      <c r="I44" s="8" t="s">
        <v>10</v>
      </c>
      <c r="J44" s="8" t="s">
        <v>11</v>
      </c>
      <c r="K44" s="8" t="s">
        <v>99</v>
      </c>
      <c r="L44" s="8" t="s">
        <v>100</v>
      </c>
      <c r="M44" s="8" t="s">
        <v>101</v>
      </c>
      <c r="N44" s="8" t="s">
        <v>102</v>
      </c>
      <c r="O44" s="8"/>
      <c r="P44" s="8" t="s">
        <v>90</v>
      </c>
      <c r="Q44" s="8" t="s">
        <v>60</v>
      </c>
      <c r="R44" s="8" t="s">
        <v>61</v>
      </c>
      <c r="S44" s="8" t="s">
        <v>62</v>
      </c>
      <c r="T44" s="8" t="s">
        <v>63</v>
      </c>
      <c r="U44" s="8" t="s">
        <v>64</v>
      </c>
      <c r="V44" s="8" t="s">
        <v>65</v>
      </c>
      <c r="W44" s="8" t="s">
        <v>66</v>
      </c>
      <c r="Z44" s="8" t="s">
        <v>60</v>
      </c>
      <c r="AA44" s="8" t="s">
        <v>61</v>
      </c>
      <c r="AB44" s="8" t="s">
        <v>62</v>
      </c>
      <c r="AC44" s="8" t="s">
        <v>63</v>
      </c>
      <c r="AD44" s="8" t="s">
        <v>64</v>
      </c>
      <c r="AE44" s="8" t="s">
        <v>65</v>
      </c>
      <c r="AF44" s="8" t="s">
        <v>66</v>
      </c>
    </row>
    <row r="45" spans="2:32" x14ac:dyDescent="0.25">
      <c r="D45" s="1" t="s">
        <v>95</v>
      </c>
      <c r="E45" s="179"/>
      <c r="F45" s="179"/>
      <c r="G45" s="1"/>
      <c r="H45" s="42"/>
      <c r="I45" s="42" t="str">
        <f>IF($D45="","",IF(VLOOKUP($D45,TaskNEU!$B$3:$D$36,3,FALSE)="","",VLOOKUP($D45,TaskNEU!$B$3:$D$36,3,FALSE)))</f>
        <v/>
      </c>
      <c r="J45" s="1"/>
      <c r="K45" s="1"/>
      <c r="L45" s="1"/>
      <c r="M45" s="1"/>
      <c r="N45" s="1"/>
      <c r="O45" s="1"/>
      <c r="P45" s="91">
        <f>SUM(Q45:W45)</f>
        <v>0</v>
      </c>
      <c r="Q45" s="91"/>
      <c r="R45" s="91"/>
      <c r="S45" s="91"/>
      <c r="T45" s="91"/>
      <c r="U45" s="91"/>
      <c r="V45" s="91"/>
      <c r="W45" s="91"/>
      <c r="Z45" s="123"/>
      <c r="AA45" s="123"/>
      <c r="AB45" s="123"/>
      <c r="AC45" s="123"/>
      <c r="AD45" s="123"/>
      <c r="AE45" s="123"/>
      <c r="AF45" s="123"/>
    </row>
    <row r="46" spans="2:32" x14ac:dyDescent="0.25">
      <c r="D46" s="1"/>
      <c r="E46" s="179"/>
      <c r="F46" s="179"/>
      <c r="G46" s="1"/>
      <c r="H46" s="42"/>
      <c r="I46" s="42" t="str">
        <f>IF($D46="","",IF(VLOOKUP($D46,TaskNEU!$B$3:$D$36,3,FALSE)="","",VLOOKUP($D46,TaskNEU!$B$3:$D$36,3,FALSE)))</f>
        <v/>
      </c>
      <c r="J46" s="92"/>
      <c r="K46" s="1"/>
      <c r="L46" s="1"/>
      <c r="M46" s="1"/>
      <c r="N46" s="1"/>
      <c r="O46" s="1"/>
      <c r="P46" s="91">
        <f>SUM(Q46:W46)</f>
        <v>0</v>
      </c>
      <c r="Q46" s="91"/>
      <c r="R46" s="91"/>
      <c r="S46" s="91"/>
      <c r="T46" s="91"/>
      <c r="U46" s="91"/>
      <c r="V46" s="91"/>
      <c r="W46" s="91"/>
      <c r="Z46" s="123"/>
      <c r="AA46" s="123"/>
      <c r="AB46" s="123"/>
      <c r="AC46" s="123"/>
      <c r="AD46" s="123"/>
      <c r="AE46" s="123"/>
      <c r="AF46" s="123"/>
    </row>
    <row r="47" spans="2:32" x14ac:dyDescent="0.25">
      <c r="D47" s="1"/>
      <c r="E47" s="184" t="str">
        <f t="shared" ref="E47:E57" si="32">IF(D47="","","1010V07213")</f>
        <v/>
      </c>
      <c r="F47" s="184" t="str">
        <f t="shared" ref="F47:F57" si="33">IF(D47="","","1000")</f>
        <v/>
      </c>
      <c r="G47" s="8" t="str">
        <f>IF(D47="","","310")</f>
        <v/>
      </c>
      <c r="H47" s="51"/>
      <c r="I47" s="8" t="str">
        <f>IF($D47="","",IF(VLOOKUP($D47,TaskNEU!$B$3:$D$36,3,FALSE)="","",VLOOKUP($D47,TaskNEU!$B$3:$D$36,3,FALSE)))</f>
        <v/>
      </c>
      <c r="J47" s="8"/>
      <c r="K47" s="8"/>
      <c r="L47" s="8"/>
      <c r="M47" s="8"/>
      <c r="N47" s="8" t="str">
        <f t="shared" ref="N47:N57" si="34">IF(D47="","","A238")</f>
        <v/>
      </c>
      <c r="O47" s="8"/>
      <c r="P47" s="91">
        <f>SUM(Q47:W47)</f>
        <v>0</v>
      </c>
      <c r="Q47" s="41">
        <v>0</v>
      </c>
      <c r="R47" s="41">
        <v>0</v>
      </c>
      <c r="S47" s="41">
        <v>0</v>
      </c>
      <c r="T47" s="41">
        <v>0</v>
      </c>
      <c r="U47" s="41">
        <v>0</v>
      </c>
      <c r="V47" s="41">
        <v>0</v>
      </c>
      <c r="W47" s="41">
        <v>0</v>
      </c>
      <c r="Z47" s="124"/>
      <c r="AA47" s="124"/>
      <c r="AB47" s="124"/>
      <c r="AC47" s="124"/>
      <c r="AD47" s="124"/>
      <c r="AE47" s="124"/>
      <c r="AF47" s="124"/>
    </row>
    <row r="48" spans="2:32" x14ac:dyDescent="0.25">
      <c r="D48" s="1"/>
      <c r="E48" s="184" t="str">
        <f t="shared" si="32"/>
        <v/>
      </c>
      <c r="F48" s="184" t="str">
        <f t="shared" si="33"/>
        <v/>
      </c>
      <c r="G48" s="8" t="str">
        <f t="shared" ref="G48:G57" si="35">IF(D48="","","310")</f>
        <v/>
      </c>
      <c r="H48" s="51"/>
      <c r="I48" s="8" t="str">
        <f>IF($D48="","",IF(VLOOKUP($D48,TaskNEU!$B$3:$D$36,3,FALSE)="","",VLOOKUP($D48,TaskNEU!$B$3:$D$36,3,FALSE)))</f>
        <v/>
      </c>
      <c r="J48" s="8" t="str">
        <f>IF($D48="","",IF(VLOOKUP($D48,TaskNEU!$B$10:$E$36,2,FALSE)="","",VLOOKUP($D48,TaskNEU!$B$10:$E$36,2,FALSE)))</f>
        <v/>
      </c>
      <c r="K48" s="8"/>
      <c r="L48" s="8" t="str">
        <f>IF($D48="","",IF(VLOOKUP($D48,TaskNEU!$B$10:$E$36,4,FALSE)="","",VLOOKUP($D48,TaskNEU!$B$10:$E$36,4,FALSE)))</f>
        <v/>
      </c>
      <c r="M48" s="8"/>
      <c r="N48" s="8" t="str">
        <f t="shared" si="34"/>
        <v/>
      </c>
      <c r="O48" s="8"/>
      <c r="P48" s="91">
        <f t="shared" ref="P48:P57" si="36">SUM(Q48:W48)</f>
        <v>0</v>
      </c>
      <c r="Q48" s="41">
        <v>0</v>
      </c>
      <c r="R48" s="41">
        <v>0</v>
      </c>
      <c r="S48" s="41">
        <v>0</v>
      </c>
      <c r="T48" s="41">
        <v>0</v>
      </c>
      <c r="U48" s="41">
        <v>0</v>
      </c>
      <c r="V48" s="41">
        <v>0</v>
      </c>
      <c r="W48" s="41">
        <v>0</v>
      </c>
      <c r="Z48" s="124"/>
      <c r="AA48" s="124"/>
      <c r="AB48" s="124"/>
      <c r="AC48" s="124"/>
      <c r="AD48" s="124"/>
      <c r="AE48" s="124"/>
      <c r="AF48" s="124"/>
    </row>
    <row r="49" spans="2:32" x14ac:dyDescent="0.25">
      <c r="D49" s="1"/>
      <c r="E49" s="184" t="str">
        <f t="shared" si="32"/>
        <v/>
      </c>
      <c r="F49" s="184"/>
      <c r="G49" s="8" t="str">
        <f t="shared" si="35"/>
        <v/>
      </c>
      <c r="H49" s="51"/>
      <c r="I49" s="8" t="str">
        <f>IF($D49="","",IF(VLOOKUP($D49,TaskNEU!$B$3:$D$36,3,FALSE)="","",VLOOKUP($D49,TaskNEU!$B$3:$D$36,3,FALSE)))</f>
        <v/>
      </c>
      <c r="J49" s="8" t="str">
        <f>IF($D49="","",IF(VLOOKUP($D49,TaskNEU!$B$10:$E$36,2,FALSE)="","",VLOOKUP($D49,TaskNEU!$B$10:$E$36,2,FALSE)))</f>
        <v/>
      </c>
      <c r="K49" s="8"/>
      <c r="L49" s="8" t="str">
        <f>IF($D49="","",IF(VLOOKUP($D49,TaskNEU!$B$10:$E$36,4,FALSE)="","",VLOOKUP($D49,TaskNEU!$B$10:$E$36,4,FALSE)))</f>
        <v/>
      </c>
      <c r="M49" s="8"/>
      <c r="N49" s="8" t="str">
        <f t="shared" si="34"/>
        <v/>
      </c>
      <c r="O49" s="8"/>
      <c r="P49" s="91">
        <f t="shared" si="36"/>
        <v>0</v>
      </c>
      <c r="Q49" s="41">
        <v>0</v>
      </c>
      <c r="R49" s="41">
        <v>0</v>
      </c>
      <c r="S49" s="41">
        <v>0</v>
      </c>
      <c r="T49" s="41">
        <v>0</v>
      </c>
      <c r="U49" s="41">
        <v>0</v>
      </c>
      <c r="V49" s="41">
        <v>0</v>
      </c>
      <c r="W49" s="41">
        <v>0</v>
      </c>
      <c r="Z49" s="124"/>
      <c r="AA49" s="124"/>
      <c r="AB49" s="124"/>
      <c r="AC49" s="124"/>
      <c r="AD49" s="124"/>
      <c r="AE49" s="124"/>
      <c r="AF49" s="124"/>
    </row>
    <row r="50" spans="2:32" x14ac:dyDescent="0.25">
      <c r="D50" s="1"/>
      <c r="E50" s="184" t="str">
        <f t="shared" si="32"/>
        <v/>
      </c>
      <c r="F50" s="184"/>
      <c r="G50" s="8" t="str">
        <f t="shared" si="35"/>
        <v/>
      </c>
      <c r="H50" s="51"/>
      <c r="I50" s="8" t="str">
        <f>IF($D50="","",IF(VLOOKUP($D50,TaskNEU!$B$3:$D$36,3,FALSE)="","",VLOOKUP($D50,TaskNEU!$B$3:$D$36,3,FALSE)))</f>
        <v/>
      </c>
      <c r="J50" s="8" t="str">
        <f>IF($D50="","",IF(VLOOKUP($D50,TaskNEU!$B$10:$E$36,2,FALSE)="","",VLOOKUP($D50,TaskNEU!$B$10:$E$36,2,FALSE)))</f>
        <v/>
      </c>
      <c r="K50" s="8"/>
      <c r="L50" s="8" t="str">
        <f>IF($D50="","",IF(VLOOKUP($D50,TaskNEU!$B$10:$E$36,4,FALSE)="","",VLOOKUP($D50,TaskNEU!$B$10:$E$36,4,FALSE)))</f>
        <v/>
      </c>
      <c r="M50" s="8"/>
      <c r="N50" s="8" t="str">
        <f t="shared" si="34"/>
        <v/>
      </c>
      <c r="O50" s="8"/>
      <c r="P50" s="91">
        <f t="shared" si="36"/>
        <v>0</v>
      </c>
      <c r="Q50" s="41">
        <v>0</v>
      </c>
      <c r="R50" s="41">
        <v>0</v>
      </c>
      <c r="S50" s="41">
        <v>0</v>
      </c>
      <c r="T50" s="41">
        <v>0</v>
      </c>
      <c r="U50" s="41">
        <v>0</v>
      </c>
      <c r="V50" s="41">
        <v>0</v>
      </c>
      <c r="W50" s="41">
        <v>0</v>
      </c>
      <c r="Z50" s="124"/>
      <c r="AA50" s="124"/>
      <c r="AB50" s="124"/>
      <c r="AC50" s="124"/>
      <c r="AD50" s="124"/>
      <c r="AE50" s="124"/>
      <c r="AF50" s="124"/>
    </row>
    <row r="51" spans="2:32" x14ac:dyDescent="0.25">
      <c r="D51" s="1"/>
      <c r="E51" s="184" t="str">
        <f t="shared" si="32"/>
        <v/>
      </c>
      <c r="F51" s="184"/>
      <c r="G51" s="8" t="str">
        <f t="shared" si="35"/>
        <v/>
      </c>
      <c r="H51" s="51"/>
      <c r="I51" s="8" t="str">
        <f>IF($D51="","",IF(VLOOKUP($D51,TaskNEU!$B$3:$D$36,3,FALSE)="","",VLOOKUP($D51,TaskNEU!$B$3:$D$36,3,FALSE)))</f>
        <v/>
      </c>
      <c r="J51" s="8" t="str">
        <f>IF($D51="","",IF(VLOOKUP($D51,TaskNEU!$B$10:$E$36,2,FALSE)="","",VLOOKUP($D51,TaskNEU!$B$10:$E$36,2,FALSE)))</f>
        <v/>
      </c>
      <c r="K51" s="8"/>
      <c r="L51" s="8" t="str">
        <f>IF($D51="","",IF(VLOOKUP($D51,TaskNEU!$B$10:$E$36,4,FALSE)="","",VLOOKUP($D51,TaskNEU!$B$10:$E$36,4,FALSE)))</f>
        <v/>
      </c>
      <c r="M51" s="8"/>
      <c r="N51" s="8" t="str">
        <f t="shared" si="34"/>
        <v/>
      </c>
      <c r="O51" s="8"/>
      <c r="P51" s="91">
        <f t="shared" si="36"/>
        <v>0</v>
      </c>
      <c r="Q51" s="41">
        <v>0</v>
      </c>
      <c r="R51" s="41">
        <v>0</v>
      </c>
      <c r="S51" s="41">
        <v>0</v>
      </c>
      <c r="T51" s="41">
        <v>0</v>
      </c>
      <c r="U51" s="41">
        <v>0</v>
      </c>
      <c r="V51" s="41">
        <v>0</v>
      </c>
      <c r="W51" s="41">
        <v>0</v>
      </c>
      <c r="Z51" s="124"/>
      <c r="AA51" s="124"/>
      <c r="AB51" s="124"/>
      <c r="AC51" s="124"/>
      <c r="AD51" s="124"/>
      <c r="AE51" s="124"/>
      <c r="AF51" s="124"/>
    </row>
    <row r="52" spans="2:32" x14ac:dyDescent="0.25">
      <c r="D52" s="1"/>
      <c r="E52" s="184" t="str">
        <f t="shared" si="32"/>
        <v/>
      </c>
      <c r="F52" s="185"/>
      <c r="G52" s="8" t="str">
        <f t="shared" si="35"/>
        <v/>
      </c>
      <c r="H52" s="51"/>
      <c r="I52" s="8" t="str">
        <f>IF($D52="","",IF(VLOOKUP($D52,TaskNEU!$B$3:$D$36,3,FALSE)="","",VLOOKUP($D52,TaskNEU!$B$3:$D$36,3,FALSE)))</f>
        <v/>
      </c>
      <c r="J52" s="8" t="str">
        <f>IF($D52="","",IF(VLOOKUP($D52,TaskNEU!$B$10:$E$36,2,FALSE)="","",VLOOKUP($D52,TaskNEU!$B$10:$E$36,2,FALSE)))</f>
        <v/>
      </c>
      <c r="K52" s="8"/>
      <c r="L52" s="8" t="str">
        <f>IF($D52="","",IF(VLOOKUP($D52,TaskNEU!$B$10:$E$36,4,FALSE)="","",VLOOKUP($D52,TaskNEU!$B$10:$E$36,4,FALSE)))</f>
        <v/>
      </c>
      <c r="M52" s="8"/>
      <c r="N52" s="8" t="str">
        <f t="shared" si="34"/>
        <v/>
      </c>
      <c r="O52" s="8"/>
      <c r="P52" s="91">
        <f t="shared" si="36"/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Z52" s="124"/>
      <c r="AA52" s="124"/>
      <c r="AB52" s="124"/>
      <c r="AC52" s="124"/>
      <c r="AD52" s="124"/>
      <c r="AE52" s="124"/>
      <c r="AF52" s="124"/>
    </row>
    <row r="53" spans="2:32" x14ac:dyDescent="0.25">
      <c r="D53" s="1"/>
      <c r="E53" s="184" t="str">
        <f t="shared" si="32"/>
        <v/>
      </c>
      <c r="F53" s="184"/>
      <c r="G53" s="8" t="str">
        <f t="shared" si="35"/>
        <v/>
      </c>
      <c r="H53" s="51"/>
      <c r="I53" s="8" t="str">
        <f>IF($D53="","",IF(VLOOKUP($D53,TaskNEU!$B$3:$D$36,3,FALSE)="","",VLOOKUP($D53,TaskNEU!$B$3:$D$36,3,FALSE)))</f>
        <v/>
      </c>
      <c r="J53" s="8" t="str">
        <f>IF($D53="","",IF(VLOOKUP($D53,TaskNEU!$B$10:$E$36,2,FALSE)="","",VLOOKUP($D53,TaskNEU!$B$10:$E$36,2,FALSE)))</f>
        <v/>
      </c>
      <c r="K53" s="8"/>
      <c r="L53" s="8" t="str">
        <f>IF($D53="","",IF(VLOOKUP($D53,TaskNEU!$B$10:$E$36,4,FALSE)="","",VLOOKUP($D53,TaskNEU!$B$10:$E$36,4,FALSE)))</f>
        <v/>
      </c>
      <c r="M53" s="8"/>
      <c r="N53" s="8" t="str">
        <f t="shared" si="34"/>
        <v/>
      </c>
      <c r="O53" s="8"/>
      <c r="P53" s="91">
        <f t="shared" si="36"/>
        <v>0</v>
      </c>
      <c r="Q53" s="41">
        <v>0</v>
      </c>
      <c r="R53" s="41">
        <v>0</v>
      </c>
      <c r="S53" s="41">
        <v>0</v>
      </c>
      <c r="T53" s="41">
        <v>0</v>
      </c>
      <c r="U53" s="41">
        <v>0</v>
      </c>
      <c r="V53" s="41">
        <v>0</v>
      </c>
      <c r="W53" s="41">
        <v>0</v>
      </c>
      <c r="Z53" s="124"/>
      <c r="AA53" s="124"/>
      <c r="AB53" s="124"/>
      <c r="AC53" s="124"/>
      <c r="AD53" s="124"/>
      <c r="AE53" s="124"/>
      <c r="AF53" s="124"/>
    </row>
    <row r="54" spans="2:32" x14ac:dyDescent="0.25">
      <c r="D54" s="1"/>
      <c r="E54" s="184" t="str">
        <f t="shared" si="32"/>
        <v/>
      </c>
      <c r="F54" s="184"/>
      <c r="G54" s="8" t="str">
        <f t="shared" si="35"/>
        <v/>
      </c>
      <c r="H54" s="51"/>
      <c r="I54" s="8" t="str">
        <f>IF($D54="","",IF(VLOOKUP($D54,TaskNEU!$B$3:$D$36,3,FALSE)="","",VLOOKUP($D54,TaskNEU!$B$3:$D$36,3,FALSE)))</f>
        <v/>
      </c>
      <c r="J54" s="8" t="str">
        <f>IF($D54="","",IF(VLOOKUP($D54,TaskNEU!$B$10:$E$36,2,FALSE)="","",VLOOKUP($D54,TaskNEU!$B$10:$E$36,2,FALSE)))</f>
        <v/>
      </c>
      <c r="K54" s="8"/>
      <c r="L54" s="8" t="str">
        <f>IF($D54="","",IF(VLOOKUP($D54,TaskNEU!$B$10:$E$36,4,FALSE)="","",VLOOKUP($D54,TaskNEU!$B$10:$E$36,4,FALSE)))</f>
        <v/>
      </c>
      <c r="M54" s="8"/>
      <c r="N54" s="8" t="str">
        <f t="shared" si="34"/>
        <v/>
      </c>
      <c r="O54" s="8"/>
      <c r="P54" s="91">
        <f t="shared" si="36"/>
        <v>0</v>
      </c>
      <c r="Q54" s="41">
        <v>0</v>
      </c>
      <c r="R54" s="41">
        <v>0</v>
      </c>
      <c r="S54" s="41">
        <v>0</v>
      </c>
      <c r="T54" s="41">
        <v>0</v>
      </c>
      <c r="U54" s="41">
        <v>0</v>
      </c>
      <c r="V54" s="41">
        <v>0</v>
      </c>
      <c r="W54" s="41">
        <v>0</v>
      </c>
      <c r="Z54" s="124"/>
      <c r="AA54" s="124"/>
      <c r="AB54" s="124"/>
      <c r="AC54" s="124"/>
      <c r="AD54" s="124"/>
      <c r="AE54" s="124"/>
      <c r="AF54" s="124"/>
    </row>
    <row r="55" spans="2:32" x14ac:dyDescent="0.25">
      <c r="D55" s="1"/>
      <c r="E55" s="184" t="str">
        <f t="shared" si="32"/>
        <v/>
      </c>
      <c r="F55" s="184"/>
      <c r="G55" s="8" t="str">
        <f t="shared" si="35"/>
        <v/>
      </c>
      <c r="H55" s="51"/>
      <c r="I55" s="8" t="str">
        <f>IF($D55="","",IF(VLOOKUP($D55,TaskNEU!$B$3:$D$36,3,FALSE)="","",VLOOKUP($D55,TaskNEU!$B$3:$D$36,3,FALSE)))</f>
        <v/>
      </c>
      <c r="J55" s="8" t="str">
        <f>IF($D55="","",IF(VLOOKUP($D55,TaskNEU!$B$10:$E$36,2,FALSE)="","",VLOOKUP($D55,TaskNEU!$B$10:$E$36,2,FALSE)))</f>
        <v/>
      </c>
      <c r="K55" s="8"/>
      <c r="L55" s="8" t="str">
        <f>IF($D55="","",IF(VLOOKUP($D55,TaskNEU!$B$10:$E$36,4,FALSE)="","",VLOOKUP($D55,TaskNEU!$B$10:$E$36,4,FALSE)))</f>
        <v/>
      </c>
      <c r="M55" s="8"/>
      <c r="N55" s="8" t="str">
        <f t="shared" si="34"/>
        <v/>
      </c>
      <c r="O55" s="8"/>
      <c r="P55" s="91">
        <f t="shared" si="36"/>
        <v>0</v>
      </c>
      <c r="Q55" s="41">
        <v>0</v>
      </c>
      <c r="R55" s="41">
        <v>0</v>
      </c>
      <c r="S55" s="41">
        <v>0</v>
      </c>
      <c r="T55" s="41">
        <v>0</v>
      </c>
      <c r="U55" s="41">
        <v>0</v>
      </c>
      <c r="V55" s="41">
        <v>0</v>
      </c>
      <c r="W55" s="41">
        <v>0</v>
      </c>
      <c r="Z55" s="124"/>
      <c r="AA55" s="124"/>
      <c r="AB55" s="124"/>
      <c r="AC55" s="124"/>
      <c r="AD55" s="124"/>
      <c r="AE55" s="124"/>
      <c r="AF55" s="124"/>
    </row>
    <row r="56" spans="2:32" x14ac:dyDescent="0.25">
      <c r="D56" s="1"/>
      <c r="E56" s="184" t="str">
        <f t="shared" si="32"/>
        <v/>
      </c>
      <c r="F56" s="184"/>
      <c r="G56" s="8" t="str">
        <f t="shared" si="35"/>
        <v/>
      </c>
      <c r="H56" s="51"/>
      <c r="I56" s="8" t="str">
        <f>IF($D56="","",IF(VLOOKUP($D56,TaskNEU!$B$3:$D$36,3,FALSE)="","",VLOOKUP($D56,TaskNEU!$B$3:$D$36,3,FALSE)))</f>
        <v/>
      </c>
      <c r="J56" s="8" t="str">
        <f>IF($D56="","",IF(VLOOKUP($D56,TaskNEU!$B$10:$E$36,2,FALSE)="","",VLOOKUP($D56,TaskNEU!$B$10:$E$36,2,FALSE)))</f>
        <v/>
      </c>
      <c r="K56" s="8"/>
      <c r="L56" s="8" t="str">
        <f>IF($D56="","",IF(VLOOKUP($D56,TaskNEU!$B$10:$E$36,4,FALSE)="","",VLOOKUP($D56,TaskNEU!$B$10:$E$36,4,FALSE)))</f>
        <v/>
      </c>
      <c r="M56" s="8"/>
      <c r="N56" s="8" t="str">
        <f t="shared" si="34"/>
        <v/>
      </c>
      <c r="O56" s="8"/>
      <c r="P56" s="91">
        <f t="shared" si="36"/>
        <v>0</v>
      </c>
      <c r="Q56" s="41">
        <v>0</v>
      </c>
      <c r="R56" s="41">
        <v>0</v>
      </c>
      <c r="S56" s="41">
        <v>0</v>
      </c>
      <c r="T56" s="41">
        <v>0</v>
      </c>
      <c r="U56" s="41">
        <v>0</v>
      </c>
      <c r="V56" s="41">
        <v>0</v>
      </c>
      <c r="W56" s="41">
        <v>0</v>
      </c>
      <c r="Z56" s="124"/>
      <c r="AA56" s="124"/>
      <c r="AB56" s="124"/>
      <c r="AC56" s="124"/>
      <c r="AD56" s="124"/>
      <c r="AE56" s="124"/>
      <c r="AF56" s="124"/>
    </row>
    <row r="57" spans="2:32" x14ac:dyDescent="0.25">
      <c r="D57" s="1"/>
      <c r="E57" s="184" t="str">
        <f t="shared" si="32"/>
        <v/>
      </c>
      <c r="F57" s="184" t="str">
        <f t="shared" si="33"/>
        <v/>
      </c>
      <c r="G57" s="8" t="str">
        <f t="shared" si="35"/>
        <v/>
      </c>
      <c r="H57" s="51"/>
      <c r="I57" s="8" t="str">
        <f>IF($D57="","",IF(VLOOKUP($D57,TaskNEU!$B$3:$D$36,3,FALSE)="","",VLOOKUP($D57,TaskNEU!$B$3:$D$36,3,FALSE)))</f>
        <v/>
      </c>
      <c r="J57" s="8" t="str">
        <f>IF($D57="","",IF(VLOOKUP($D57,TaskNEU!$B$10:$E$36,2,FALSE)="","",VLOOKUP($D57,TaskNEU!$B$10:$E$36,2,FALSE)))</f>
        <v/>
      </c>
      <c r="K57" s="8"/>
      <c r="L57" s="8" t="str">
        <f>IF($D57="","",IF(VLOOKUP($D57,TaskNEU!$B$10:$E$36,4,FALSE)="","",VLOOKUP($D57,TaskNEU!$B$10:$E$36,4,FALSE)))</f>
        <v/>
      </c>
      <c r="M57" s="8"/>
      <c r="N57" s="8" t="str">
        <f t="shared" si="34"/>
        <v/>
      </c>
      <c r="O57" s="8"/>
      <c r="P57" s="91">
        <f t="shared" si="36"/>
        <v>0</v>
      </c>
      <c r="Q57" s="41">
        <v>0</v>
      </c>
      <c r="R57" s="41">
        <v>0</v>
      </c>
      <c r="S57" s="41">
        <v>0</v>
      </c>
      <c r="T57" s="41">
        <v>0</v>
      </c>
      <c r="U57" s="41">
        <v>0</v>
      </c>
      <c r="V57" s="41">
        <v>0</v>
      </c>
      <c r="W57" s="41">
        <v>0</v>
      </c>
      <c r="Z57" s="124"/>
      <c r="AA57" s="124"/>
      <c r="AB57" s="124"/>
      <c r="AC57" s="124"/>
      <c r="AD57" s="124"/>
      <c r="AE57" s="124"/>
      <c r="AF57" s="124"/>
    </row>
    <row r="58" spans="2:32" ht="15.75" thickBot="1" x14ac:dyDescent="0.3">
      <c r="B58" s="56"/>
      <c r="C58" s="56"/>
      <c r="D58" s="56"/>
      <c r="E58" s="186"/>
      <c r="F58" s="186"/>
      <c r="G58" s="56"/>
      <c r="H58" s="56"/>
      <c r="I58" s="56"/>
      <c r="J58" s="56"/>
      <c r="K58" s="56"/>
      <c r="L58" s="56"/>
      <c r="M58" s="56"/>
      <c r="N58" s="56"/>
      <c r="O58" s="56"/>
      <c r="P58" s="73">
        <f>SUM(Q45:W57)</f>
        <v>0</v>
      </c>
      <c r="Q58" s="72">
        <f>SUM(Q45:Q57)</f>
        <v>0</v>
      </c>
      <c r="R58" s="72">
        <f t="shared" ref="R58:W58" si="37">SUM(R45:R57)</f>
        <v>0</v>
      </c>
      <c r="S58" s="72">
        <f t="shared" si="37"/>
        <v>0</v>
      </c>
      <c r="T58" s="72">
        <f t="shared" si="37"/>
        <v>0</v>
      </c>
      <c r="U58" s="72">
        <f t="shared" si="37"/>
        <v>0</v>
      </c>
      <c r="V58" s="72">
        <f t="shared" si="37"/>
        <v>0</v>
      </c>
      <c r="W58" s="72">
        <f t="shared" si="37"/>
        <v>0</v>
      </c>
      <c r="X58" s="118"/>
      <c r="Y58" s="56"/>
      <c r="Z58" s="56"/>
      <c r="AA58" s="56"/>
      <c r="AB58" s="56"/>
      <c r="AC58" s="56"/>
      <c r="AD58" s="56"/>
      <c r="AE58" s="56"/>
      <c r="AF58" s="56"/>
    </row>
    <row r="59" spans="2:32" x14ac:dyDescent="0.25">
      <c r="B59" s="55"/>
      <c r="C59" s="55"/>
      <c r="D59" s="55"/>
      <c r="E59" s="178"/>
      <c r="F59" s="178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</row>
    <row r="60" spans="2:32" x14ac:dyDescent="0.25">
      <c r="B60" s="57"/>
      <c r="C60" s="58"/>
      <c r="D60" s="1" t="s">
        <v>40</v>
      </c>
      <c r="E60" s="179">
        <f>E33+1</f>
        <v>7</v>
      </c>
      <c r="F60" s="179" t="s">
        <v>0</v>
      </c>
      <c r="G60" s="2">
        <f>SUM(I63:I69)</f>
        <v>1.6875</v>
      </c>
      <c r="H60" s="221" t="s">
        <v>1</v>
      </c>
      <c r="I60" s="222"/>
      <c r="J60" s="2">
        <f>SUM(J63:J69)</f>
        <v>1.6875</v>
      </c>
      <c r="K60" s="67"/>
      <c r="L60" s="68"/>
      <c r="M60" s="35"/>
      <c r="N60" s="40" t="s">
        <v>57</v>
      </c>
      <c r="O60" s="8"/>
    </row>
    <row r="61" spans="2:32" x14ac:dyDescent="0.25">
      <c r="B61" s="59"/>
      <c r="C61" s="60"/>
      <c r="D61" s="1"/>
      <c r="E61" s="179"/>
      <c r="F61" s="180" t="s">
        <v>48</v>
      </c>
      <c r="G61" s="2">
        <f>SUM(Q63:Q69)/24</f>
        <v>0</v>
      </c>
      <c r="H61" s="52"/>
      <c r="I61" s="21" t="s">
        <v>58</v>
      </c>
      <c r="J61" s="2">
        <f>P85/24</f>
        <v>1.6458333333333333</v>
      </c>
      <c r="K61" s="67"/>
      <c r="L61" s="69"/>
      <c r="M61" s="7"/>
      <c r="O61" s="8" t="s">
        <v>191</v>
      </c>
      <c r="Q61" s="93">
        <f>SUM(Q63:Q69)</f>
        <v>0</v>
      </c>
      <c r="R61" s="93">
        <f>SUM(R63:R69)</f>
        <v>2</v>
      </c>
      <c r="S61" s="93">
        <f>SUM(S63:S69)</f>
        <v>1.5</v>
      </c>
      <c r="T61" s="110" t="s">
        <v>188</v>
      </c>
      <c r="U61" s="58"/>
      <c r="V61" s="112" t="s">
        <v>189</v>
      </c>
    </row>
    <row r="62" spans="2:32" x14ac:dyDescent="0.25">
      <c r="B62" s="61"/>
      <c r="C62" s="62"/>
      <c r="D62" s="1" t="s">
        <v>2</v>
      </c>
      <c r="E62" s="179" t="s">
        <v>3</v>
      </c>
      <c r="F62" s="179" t="s">
        <v>4</v>
      </c>
      <c r="G62" s="1" t="s">
        <v>5</v>
      </c>
      <c r="H62" s="52" t="s">
        <v>6</v>
      </c>
      <c r="I62" s="52" t="s">
        <v>7</v>
      </c>
      <c r="J62" s="52" t="s">
        <v>45</v>
      </c>
      <c r="K62" s="1" t="s">
        <v>44</v>
      </c>
      <c r="L62" s="219" t="s">
        <v>21</v>
      </c>
      <c r="M62" s="220"/>
      <c r="N62" s="219" t="s">
        <v>18</v>
      </c>
      <c r="O62" s="220"/>
      <c r="P62" s="42" t="s">
        <v>56</v>
      </c>
      <c r="Q62" s="93" t="s">
        <v>138</v>
      </c>
      <c r="R62" s="52" t="s">
        <v>139</v>
      </c>
      <c r="S62" s="52" t="s">
        <v>140</v>
      </c>
      <c r="T62" s="111" t="s">
        <v>187</v>
      </c>
      <c r="U62" s="62"/>
      <c r="V62" s="113" t="s">
        <v>118</v>
      </c>
    </row>
    <row r="63" spans="2:32" x14ac:dyDescent="0.25">
      <c r="B63" s="21" t="str">
        <f>IF(C63=1,"Mo",IF(C63=2,"Di",IF(C63=3,"Mi",IF(C63=4,"Do",IF(C63=5,"Fr",IF(C63=6,"Sa",IF(C63=7,"So","")))))))</f>
        <v>Mo</v>
      </c>
      <c r="C63" s="1">
        <f>WEEKDAY(D63,2)</f>
        <v>1</v>
      </c>
      <c r="D63" s="3">
        <f>D36+7</f>
        <v>46062</v>
      </c>
      <c r="E63" s="187">
        <v>0.33333333333333331</v>
      </c>
      <c r="F63" s="188">
        <v>0.66666666666666663</v>
      </c>
      <c r="G63" s="5">
        <f t="shared" ref="G63:G69" si="38">IF(AND(H63&gt;6/24,H63&lt;=9.5/24),0.5/24,IF(H63&gt;9.5/24,0.75/24,0))</f>
        <v>2.0833333333333332E-2</v>
      </c>
      <c r="H63" s="22">
        <f t="shared" ref="H63:H69" si="39">((IF(E63*24&gt;F63*24,F63*24+(24-E63*24),F63*24-E63*24))/24)-(V63/24)</f>
        <v>0.33333333333333331</v>
      </c>
      <c r="I63" s="6">
        <f>H63-G63</f>
        <v>0.3125</v>
      </c>
      <c r="J63" s="6">
        <f>IF(C63&lt;6,I63,0/24)</f>
        <v>0.3125</v>
      </c>
      <c r="K63" s="23">
        <f>IF(C63&lt;5,((0.5+8.5+(E63*24))/24),IF(C63=5,((6+(E63*24))/24),))</f>
        <v>0.70833333333333337</v>
      </c>
      <c r="L63" s="219" t="s">
        <v>23</v>
      </c>
      <c r="M63" s="220"/>
      <c r="N63" s="219"/>
      <c r="O63" s="220"/>
      <c r="P63" s="39">
        <f>IF(I63="","",I63*24)</f>
        <v>7.5</v>
      </c>
      <c r="Q63" s="71"/>
      <c r="R63" s="94" t="b">
        <f t="shared" ref="R63:R69" si="40">IF(C63&lt;5,(IF(P63&gt;8.5,P63-8.5)),IF(C63=5,(IF(P63&gt;6,P63-6)),IF(C63&gt;5,P63)))</f>
        <v>0</v>
      </c>
      <c r="S63" s="94">
        <f>IF(C63&lt;5,(IF(P63&lt;8.5,8.5-P63)),IF(C63=5,(IF(P63&lt;6,6-P63))))</f>
        <v>1</v>
      </c>
      <c r="T63" s="24"/>
      <c r="U63" s="25"/>
      <c r="V63" s="109">
        <v>0</v>
      </c>
      <c r="W63" s="114">
        <f t="shared" ref="W63:W69" si="41">D63</f>
        <v>46062</v>
      </c>
      <c r="X63" s="21" t="str">
        <f>B63</f>
        <v>Mo</v>
      </c>
    </row>
    <row r="64" spans="2:32" x14ac:dyDescent="0.25">
      <c r="B64" s="21" t="str">
        <f t="shared" ref="B64:B69" si="42">IF(C64=1,"Mo",IF(C64=2,"Di",IF(C64=3,"Mi",IF(C64=4,"Do",IF(C64=5,"Fr",IF(C64=6,"Sa",IF(C64=7,"So","")))))))</f>
        <v>Di</v>
      </c>
      <c r="C64" s="1">
        <f t="shared" ref="C64:C69" si="43">WEEKDAY(D64,2)</f>
        <v>2</v>
      </c>
      <c r="D64" s="3">
        <f t="shared" ref="D64:D69" si="44">D63+1</f>
        <v>46063</v>
      </c>
      <c r="E64" s="187">
        <v>0.3125</v>
      </c>
      <c r="F64" s="188">
        <v>0.73958333333333337</v>
      </c>
      <c r="G64" s="5">
        <f t="shared" si="38"/>
        <v>3.125E-2</v>
      </c>
      <c r="H64" s="22">
        <f t="shared" si="39"/>
        <v>0.42708333333333331</v>
      </c>
      <c r="I64" s="6">
        <f t="shared" ref="I64:I69" si="45">H64-G64</f>
        <v>0.39583333333333331</v>
      </c>
      <c r="J64" s="6">
        <f t="shared" ref="J64:J69" si="46">IF(C64&lt;6,I64,0/24)</f>
        <v>0.39583333333333331</v>
      </c>
      <c r="K64" s="23">
        <f t="shared" ref="K64:K69" si="47">IF(C64&lt;5,((0.5+8.5+(E64*24))/24),IF(C64=5,((6+(E64*24))/24),))</f>
        <v>0.6875</v>
      </c>
      <c r="L64" s="219" t="s">
        <v>23</v>
      </c>
      <c r="M64" s="220"/>
      <c r="N64" s="219"/>
      <c r="O64" s="220"/>
      <c r="P64" s="39">
        <f t="shared" ref="P64:P69" si="48">IF(I64="","",I64*24)</f>
        <v>9.5</v>
      </c>
      <c r="Q64" s="71"/>
      <c r="R64" s="94">
        <f t="shared" si="40"/>
        <v>1</v>
      </c>
      <c r="S64" s="94" t="b">
        <f t="shared" ref="S64:S69" si="49">IF(C64&lt;5,(IF(P64&lt;8.5,8.5-P64)),IF(C64=5,(IF(P64&lt;6,6-P64))))</f>
        <v>0</v>
      </c>
      <c r="T64" s="24"/>
      <c r="U64" s="25"/>
      <c r="V64" s="109">
        <v>0</v>
      </c>
      <c r="W64" s="114">
        <f t="shared" si="41"/>
        <v>46063</v>
      </c>
      <c r="X64" s="21" t="str">
        <f t="shared" ref="X64:X69" si="50">B64</f>
        <v>Di</v>
      </c>
    </row>
    <row r="65" spans="2:32" x14ac:dyDescent="0.25">
      <c r="B65" s="21" t="str">
        <f t="shared" si="42"/>
        <v>Mi</v>
      </c>
      <c r="C65" s="1">
        <f t="shared" si="43"/>
        <v>3</v>
      </c>
      <c r="D65" s="3">
        <f t="shared" si="44"/>
        <v>46064</v>
      </c>
      <c r="E65" s="187">
        <v>0.34375</v>
      </c>
      <c r="F65" s="188">
        <v>0.75</v>
      </c>
      <c r="G65" s="5">
        <f t="shared" si="38"/>
        <v>3.125E-2</v>
      </c>
      <c r="H65" s="22">
        <f t="shared" si="39"/>
        <v>0.40625</v>
      </c>
      <c r="I65" s="6">
        <f t="shared" si="45"/>
        <v>0.375</v>
      </c>
      <c r="J65" s="6">
        <f t="shared" si="46"/>
        <v>0.375</v>
      </c>
      <c r="K65" s="23">
        <f t="shared" si="47"/>
        <v>0.71875</v>
      </c>
      <c r="L65" s="219" t="s">
        <v>23</v>
      </c>
      <c r="M65" s="220"/>
      <c r="N65" s="219"/>
      <c r="O65" s="220"/>
      <c r="P65" s="39">
        <f t="shared" si="48"/>
        <v>9</v>
      </c>
      <c r="Q65" s="71"/>
      <c r="R65" s="94">
        <f t="shared" si="40"/>
        <v>0.5</v>
      </c>
      <c r="S65" s="94" t="b">
        <f t="shared" si="49"/>
        <v>0</v>
      </c>
      <c r="T65" s="24"/>
      <c r="U65" s="25"/>
      <c r="V65" s="109">
        <v>0</v>
      </c>
      <c r="W65" s="114">
        <f t="shared" si="41"/>
        <v>46064</v>
      </c>
      <c r="X65" s="21" t="str">
        <f t="shared" si="50"/>
        <v>Mi</v>
      </c>
    </row>
    <row r="66" spans="2:32" x14ac:dyDescent="0.25">
      <c r="B66" s="21" t="str">
        <f t="shared" si="42"/>
        <v>Do</v>
      </c>
      <c r="C66" s="1">
        <f t="shared" si="43"/>
        <v>4</v>
      </c>
      <c r="D66" s="3">
        <f t="shared" si="44"/>
        <v>46065</v>
      </c>
      <c r="E66" s="187">
        <v>0.3125</v>
      </c>
      <c r="F66" s="188">
        <v>0.70833333333333337</v>
      </c>
      <c r="G66" s="5">
        <f t="shared" si="38"/>
        <v>2.0833333333333332E-2</v>
      </c>
      <c r="H66" s="22">
        <f t="shared" si="39"/>
        <v>0.39583333333333331</v>
      </c>
      <c r="I66" s="6">
        <f t="shared" si="45"/>
        <v>0.375</v>
      </c>
      <c r="J66" s="6">
        <f t="shared" si="46"/>
        <v>0.375</v>
      </c>
      <c r="K66" s="23">
        <f t="shared" si="47"/>
        <v>0.6875</v>
      </c>
      <c r="L66" s="219" t="s">
        <v>23</v>
      </c>
      <c r="M66" s="220"/>
      <c r="N66" s="219"/>
      <c r="O66" s="220"/>
      <c r="P66" s="39">
        <f t="shared" si="48"/>
        <v>9</v>
      </c>
      <c r="Q66" s="71"/>
      <c r="R66" s="94">
        <f t="shared" si="40"/>
        <v>0.5</v>
      </c>
      <c r="S66" s="94" t="b">
        <f t="shared" si="49"/>
        <v>0</v>
      </c>
      <c r="T66" s="24"/>
      <c r="U66" s="25"/>
      <c r="V66" s="109">
        <v>0</v>
      </c>
      <c r="W66" s="114">
        <f t="shared" si="41"/>
        <v>46065</v>
      </c>
      <c r="X66" s="21" t="str">
        <f t="shared" si="50"/>
        <v>Do</v>
      </c>
    </row>
    <row r="67" spans="2:32" x14ac:dyDescent="0.25">
      <c r="B67" s="21" t="str">
        <f t="shared" si="42"/>
        <v>Fr</v>
      </c>
      <c r="C67" s="1">
        <f t="shared" si="43"/>
        <v>5</v>
      </c>
      <c r="D67" s="3">
        <f t="shared" si="44"/>
        <v>46066</v>
      </c>
      <c r="E67" s="187">
        <v>0.3125</v>
      </c>
      <c r="F67" s="188">
        <v>0.54166666666666663</v>
      </c>
      <c r="G67" s="5">
        <f t="shared" si="38"/>
        <v>0</v>
      </c>
      <c r="H67" s="22">
        <f t="shared" si="39"/>
        <v>0.22916666666666666</v>
      </c>
      <c r="I67" s="6">
        <f t="shared" si="45"/>
        <v>0.22916666666666666</v>
      </c>
      <c r="J67" s="6">
        <f t="shared" si="46"/>
        <v>0.22916666666666666</v>
      </c>
      <c r="K67" s="23">
        <f t="shared" si="47"/>
        <v>0.5625</v>
      </c>
      <c r="L67" s="219" t="s">
        <v>23</v>
      </c>
      <c r="M67" s="220"/>
      <c r="N67" s="219"/>
      <c r="O67" s="220"/>
      <c r="P67" s="39">
        <f t="shared" si="48"/>
        <v>5.5</v>
      </c>
      <c r="Q67" s="71"/>
      <c r="R67" s="94" t="b">
        <f t="shared" si="40"/>
        <v>0</v>
      </c>
      <c r="S67" s="94">
        <f t="shared" si="49"/>
        <v>0.5</v>
      </c>
      <c r="T67" s="24"/>
      <c r="U67" s="25"/>
      <c r="V67" s="109">
        <v>0</v>
      </c>
      <c r="W67" s="114">
        <f t="shared" si="41"/>
        <v>46066</v>
      </c>
      <c r="X67" s="21" t="str">
        <f t="shared" si="50"/>
        <v>Fr</v>
      </c>
    </row>
    <row r="68" spans="2:32" x14ac:dyDescent="0.25">
      <c r="B68" s="21" t="str">
        <f t="shared" si="42"/>
        <v>Sa</v>
      </c>
      <c r="C68" s="1">
        <f t="shared" si="43"/>
        <v>6</v>
      </c>
      <c r="D68" s="3">
        <f t="shared" si="44"/>
        <v>46067</v>
      </c>
      <c r="E68" s="187"/>
      <c r="F68" s="188"/>
      <c r="G68" s="5">
        <f t="shared" si="38"/>
        <v>0</v>
      </c>
      <c r="H68" s="22">
        <f t="shared" si="39"/>
        <v>0</v>
      </c>
      <c r="I68" s="6">
        <f t="shared" si="45"/>
        <v>0</v>
      </c>
      <c r="J68" s="6">
        <f t="shared" si="46"/>
        <v>0</v>
      </c>
      <c r="K68" s="23">
        <f t="shared" si="47"/>
        <v>0</v>
      </c>
      <c r="L68" s="219"/>
      <c r="M68" s="220"/>
      <c r="N68" s="219"/>
      <c r="O68" s="220"/>
      <c r="P68" s="39">
        <f t="shared" si="48"/>
        <v>0</v>
      </c>
      <c r="Q68" s="71"/>
      <c r="R68" s="94">
        <f t="shared" si="40"/>
        <v>0</v>
      </c>
      <c r="S68" s="94" t="b">
        <f t="shared" si="49"/>
        <v>0</v>
      </c>
      <c r="T68" s="24"/>
      <c r="U68" s="25"/>
      <c r="V68" s="109">
        <v>0</v>
      </c>
      <c r="W68" s="114">
        <f t="shared" si="41"/>
        <v>46067</v>
      </c>
      <c r="X68" s="21" t="str">
        <f t="shared" si="50"/>
        <v>Sa</v>
      </c>
    </row>
    <row r="69" spans="2:32" x14ac:dyDescent="0.25">
      <c r="B69" s="21" t="str">
        <f t="shared" si="42"/>
        <v>So</v>
      </c>
      <c r="C69" s="1">
        <f t="shared" si="43"/>
        <v>7</v>
      </c>
      <c r="D69" s="3">
        <f t="shared" si="44"/>
        <v>46068</v>
      </c>
      <c r="E69" s="187"/>
      <c r="F69" s="188"/>
      <c r="G69" s="5">
        <f t="shared" si="38"/>
        <v>0</v>
      </c>
      <c r="H69" s="22">
        <f t="shared" si="39"/>
        <v>0</v>
      </c>
      <c r="I69" s="6">
        <f t="shared" si="45"/>
        <v>0</v>
      </c>
      <c r="J69" s="6">
        <f t="shared" si="46"/>
        <v>0</v>
      </c>
      <c r="K69" s="23">
        <f t="shared" si="47"/>
        <v>0</v>
      </c>
      <c r="L69" s="219"/>
      <c r="M69" s="220"/>
      <c r="N69" s="219"/>
      <c r="O69" s="220"/>
      <c r="P69" s="39">
        <f t="shared" si="48"/>
        <v>0</v>
      </c>
      <c r="Q69" s="71"/>
      <c r="R69" s="94">
        <f t="shared" si="40"/>
        <v>0</v>
      </c>
      <c r="S69" s="94" t="b">
        <f t="shared" si="49"/>
        <v>0</v>
      </c>
      <c r="T69" s="24"/>
      <c r="U69" s="25"/>
      <c r="V69" s="109">
        <v>0</v>
      </c>
      <c r="W69" s="114">
        <f t="shared" si="41"/>
        <v>46068</v>
      </c>
      <c r="X69" s="21" t="str">
        <f t="shared" si="50"/>
        <v>So</v>
      </c>
    </row>
    <row r="70" spans="2:32" x14ac:dyDescent="0.25">
      <c r="F70" s="183"/>
      <c r="G70" s="18"/>
      <c r="H70" s="18"/>
      <c r="I70" s="19"/>
      <c r="J70" s="19"/>
      <c r="K70" s="18"/>
      <c r="L70" s="18"/>
      <c r="M70" s="18"/>
      <c r="N70" s="20"/>
      <c r="O70" s="20"/>
      <c r="P70" s="18"/>
      <c r="Q70" s="145">
        <f>D63</f>
        <v>46062</v>
      </c>
      <c r="R70" s="145">
        <f>D64</f>
        <v>46063</v>
      </c>
      <c r="S70" s="145">
        <f>D65</f>
        <v>46064</v>
      </c>
      <c r="T70" s="145">
        <f>D66</f>
        <v>46065</v>
      </c>
      <c r="U70" s="145">
        <f>D67</f>
        <v>46066</v>
      </c>
      <c r="V70" s="145">
        <f>D68</f>
        <v>46067</v>
      </c>
      <c r="W70" s="145">
        <f>D69</f>
        <v>46068</v>
      </c>
      <c r="Z70" s="84" t="s">
        <v>208</v>
      </c>
      <c r="AA70" s="85"/>
      <c r="AB70" s="85"/>
      <c r="AC70" s="85"/>
      <c r="AD70" s="85"/>
      <c r="AE70" s="85"/>
      <c r="AF70" s="86"/>
    </row>
    <row r="71" spans="2:32" x14ac:dyDescent="0.25">
      <c r="D71" s="51" t="s">
        <v>30</v>
      </c>
      <c r="E71" s="184" t="s">
        <v>8</v>
      </c>
      <c r="F71" s="184" t="s">
        <v>97</v>
      </c>
      <c r="G71" s="8" t="s">
        <v>98</v>
      </c>
      <c r="H71" s="51" t="s">
        <v>9</v>
      </c>
      <c r="I71" s="8" t="s">
        <v>10</v>
      </c>
      <c r="J71" s="8" t="s">
        <v>11</v>
      </c>
      <c r="K71" s="8" t="s">
        <v>99</v>
      </c>
      <c r="L71" s="8" t="s">
        <v>100</v>
      </c>
      <c r="M71" s="8" t="s">
        <v>101</v>
      </c>
      <c r="N71" s="8" t="s">
        <v>102</v>
      </c>
      <c r="O71" s="8"/>
      <c r="P71" s="8" t="s">
        <v>90</v>
      </c>
      <c r="Q71" s="8" t="s">
        <v>60</v>
      </c>
      <c r="R71" s="8" t="s">
        <v>61</v>
      </c>
      <c r="S71" s="8" t="s">
        <v>62</v>
      </c>
      <c r="T71" s="8" t="s">
        <v>63</v>
      </c>
      <c r="U71" s="8" t="s">
        <v>64</v>
      </c>
      <c r="V71" s="8" t="s">
        <v>65</v>
      </c>
      <c r="W71" s="8" t="s">
        <v>66</v>
      </c>
      <c r="Z71" s="8" t="s">
        <v>60</v>
      </c>
      <c r="AA71" s="8" t="s">
        <v>61</v>
      </c>
      <c r="AB71" s="8" t="s">
        <v>62</v>
      </c>
      <c r="AC71" s="8" t="s">
        <v>63</v>
      </c>
      <c r="AD71" s="8" t="s">
        <v>64</v>
      </c>
      <c r="AE71" s="8" t="s">
        <v>65</v>
      </c>
      <c r="AF71" s="8" t="s">
        <v>66</v>
      </c>
    </row>
    <row r="72" spans="2:32" x14ac:dyDescent="0.25">
      <c r="D72" s="1" t="s">
        <v>95</v>
      </c>
      <c r="E72" s="179"/>
      <c r="F72" s="179"/>
      <c r="G72" s="1"/>
      <c r="H72" s="42"/>
      <c r="I72" s="42" t="str">
        <f>IF($D72="","",IF(VLOOKUP($D72,TaskNEU!$B$3:$D$36,3,FALSE)="","",VLOOKUP($D72,TaskNEU!$B$3:$D$36,3,FALSE)))</f>
        <v/>
      </c>
      <c r="J72" s="1"/>
      <c r="K72" s="1"/>
      <c r="L72" s="1"/>
      <c r="M72" s="1"/>
      <c r="N72" s="1"/>
      <c r="O72" s="1"/>
      <c r="P72" s="91">
        <f>SUM(Q72:W72)</f>
        <v>0</v>
      </c>
      <c r="Q72" s="91"/>
      <c r="R72" s="91"/>
      <c r="S72" s="91"/>
      <c r="T72" s="91"/>
      <c r="U72" s="91"/>
      <c r="V72" s="91"/>
      <c r="W72" s="91"/>
      <c r="Z72" s="123"/>
      <c r="AA72" s="123"/>
      <c r="AB72" s="123"/>
      <c r="AC72" s="123"/>
      <c r="AD72" s="123"/>
      <c r="AE72" s="123"/>
      <c r="AF72" s="123"/>
    </row>
    <row r="73" spans="2:32" x14ac:dyDescent="0.25">
      <c r="D73" s="1"/>
      <c r="E73" s="179"/>
      <c r="F73" s="179"/>
      <c r="G73" s="1"/>
      <c r="H73" s="42"/>
      <c r="I73" s="42"/>
      <c r="J73" s="92"/>
      <c r="K73" s="1"/>
      <c r="L73" s="1"/>
      <c r="M73" s="1"/>
      <c r="N73" s="1"/>
      <c r="O73" s="1"/>
      <c r="P73" s="91">
        <f>SUM(Q73:W73)</f>
        <v>6.5</v>
      </c>
      <c r="Q73" s="91">
        <v>5</v>
      </c>
      <c r="R73" s="91">
        <v>1.5</v>
      </c>
      <c r="S73" s="91"/>
      <c r="T73" s="91"/>
      <c r="U73" s="91"/>
      <c r="V73" s="91"/>
      <c r="W73" s="91"/>
      <c r="Z73" s="123"/>
      <c r="AA73" s="123"/>
      <c r="AB73" s="123"/>
      <c r="AC73" s="123"/>
      <c r="AD73" s="123"/>
      <c r="AE73" s="123"/>
      <c r="AF73" s="123"/>
    </row>
    <row r="74" spans="2:32" x14ac:dyDescent="0.25">
      <c r="D74" s="1"/>
      <c r="E74" s="184"/>
      <c r="F74" s="184"/>
      <c r="G74" s="8"/>
      <c r="H74" s="51"/>
      <c r="I74" s="8"/>
      <c r="J74" s="8"/>
      <c r="K74" s="8"/>
      <c r="L74" s="8"/>
      <c r="M74" s="8"/>
      <c r="N74" s="8"/>
      <c r="O74" s="8"/>
      <c r="P74" s="91">
        <f>SUM(Q74:W74)</f>
        <v>0</v>
      </c>
      <c r="Q74" s="41">
        <v>0</v>
      </c>
      <c r="R74" s="41">
        <v>0</v>
      </c>
      <c r="S74" s="41">
        <v>0</v>
      </c>
      <c r="T74" s="41">
        <v>0</v>
      </c>
      <c r="U74" s="41">
        <v>0</v>
      </c>
      <c r="V74" s="41">
        <v>0</v>
      </c>
      <c r="W74" s="41">
        <v>0</v>
      </c>
      <c r="Z74" s="124"/>
      <c r="AA74" s="124"/>
      <c r="AB74" s="124"/>
      <c r="AC74" s="124"/>
      <c r="AD74" s="124"/>
      <c r="AE74" s="124"/>
      <c r="AF74" s="124"/>
    </row>
    <row r="75" spans="2:32" x14ac:dyDescent="0.25">
      <c r="D75" s="1"/>
      <c r="E75" s="184"/>
      <c r="F75" s="184"/>
      <c r="G75" s="8"/>
      <c r="H75" s="51"/>
      <c r="I75" s="8"/>
      <c r="J75" s="8"/>
      <c r="K75" s="8"/>
      <c r="L75" s="8"/>
      <c r="M75" s="8"/>
      <c r="N75" s="8"/>
      <c r="O75" s="8"/>
      <c r="P75" s="91">
        <f t="shared" ref="P75:P84" si="51">SUM(Q75:W75)</f>
        <v>15</v>
      </c>
      <c r="Q75" s="41">
        <v>4</v>
      </c>
      <c r="R75" s="41">
        <v>6.5</v>
      </c>
      <c r="S75" s="41">
        <v>0</v>
      </c>
      <c r="T75" s="41">
        <v>4.5</v>
      </c>
      <c r="U75" s="41">
        <v>0</v>
      </c>
      <c r="V75" s="41">
        <v>0</v>
      </c>
      <c r="W75" s="41">
        <v>0</v>
      </c>
      <c r="Z75" s="124"/>
      <c r="AA75" s="124"/>
      <c r="AB75" s="124"/>
      <c r="AC75" s="124"/>
      <c r="AD75" s="124"/>
      <c r="AE75" s="124"/>
      <c r="AF75" s="124"/>
    </row>
    <row r="76" spans="2:32" x14ac:dyDescent="0.25">
      <c r="D76" s="1"/>
      <c r="E76" s="184"/>
      <c r="F76" s="184"/>
      <c r="G76" s="8"/>
      <c r="H76" s="51"/>
      <c r="I76" s="8"/>
      <c r="J76" s="8"/>
      <c r="K76" s="8"/>
      <c r="L76" s="8"/>
      <c r="M76" s="8"/>
      <c r="N76" s="8"/>
      <c r="O76" s="8"/>
      <c r="P76" s="91">
        <f t="shared" si="51"/>
        <v>7.5</v>
      </c>
      <c r="Q76" s="41">
        <v>0</v>
      </c>
      <c r="R76" s="41">
        <v>0</v>
      </c>
      <c r="S76" s="41">
        <v>7.5</v>
      </c>
      <c r="T76" s="41">
        <v>0</v>
      </c>
      <c r="U76" s="41">
        <v>0</v>
      </c>
      <c r="V76" s="41">
        <v>0</v>
      </c>
      <c r="W76" s="41">
        <v>0</v>
      </c>
      <c r="Z76" s="124"/>
      <c r="AA76" s="124"/>
      <c r="AB76" s="124"/>
      <c r="AC76" s="124"/>
      <c r="AD76" s="124"/>
      <c r="AE76" s="124"/>
      <c r="AF76" s="124"/>
    </row>
    <row r="77" spans="2:32" x14ac:dyDescent="0.25">
      <c r="D77" s="1"/>
      <c r="E77" s="184"/>
      <c r="F77" s="184"/>
      <c r="G77" s="8"/>
      <c r="H77" s="51"/>
      <c r="I77" s="8"/>
      <c r="J77" s="8"/>
      <c r="K77" s="8"/>
      <c r="L77" s="8"/>
      <c r="M77" s="8"/>
      <c r="N77" s="8"/>
      <c r="O77" s="8"/>
      <c r="P77" s="91">
        <f t="shared" si="51"/>
        <v>4.5</v>
      </c>
      <c r="Q77" s="41">
        <v>0</v>
      </c>
      <c r="R77" s="41">
        <v>0</v>
      </c>
      <c r="S77" s="41">
        <v>0</v>
      </c>
      <c r="T77" s="41">
        <v>4</v>
      </c>
      <c r="U77" s="41">
        <v>0.5</v>
      </c>
      <c r="V77" s="41">
        <v>0</v>
      </c>
      <c r="W77" s="41">
        <v>0</v>
      </c>
      <c r="Z77" s="124"/>
      <c r="AA77" s="124"/>
      <c r="AB77" s="124"/>
      <c r="AC77" s="124"/>
      <c r="AD77" s="124"/>
      <c r="AE77" s="124"/>
      <c r="AF77" s="124"/>
    </row>
    <row r="78" spans="2:32" x14ac:dyDescent="0.25">
      <c r="D78" s="1"/>
      <c r="E78" s="184"/>
      <c r="F78" s="184"/>
      <c r="G78" s="8"/>
      <c r="H78" s="51"/>
      <c r="I78" s="8"/>
      <c r="J78" s="8"/>
      <c r="K78" s="8"/>
      <c r="L78" s="8"/>
      <c r="M78" s="8"/>
      <c r="N78" s="8"/>
      <c r="O78" s="8"/>
      <c r="P78" s="91">
        <f t="shared" si="51"/>
        <v>6</v>
      </c>
      <c r="Q78" s="41">
        <v>0</v>
      </c>
      <c r="R78" s="41">
        <v>0</v>
      </c>
      <c r="S78" s="41">
        <v>0</v>
      </c>
      <c r="T78" s="41">
        <v>0</v>
      </c>
      <c r="U78" s="41">
        <v>6</v>
      </c>
      <c r="V78" s="41">
        <v>0</v>
      </c>
      <c r="W78" s="41">
        <v>0</v>
      </c>
      <c r="Z78" s="124"/>
      <c r="AA78" s="124"/>
      <c r="AB78" s="124"/>
      <c r="AC78" s="124"/>
      <c r="AD78" s="124"/>
      <c r="AE78" s="124"/>
      <c r="AF78" s="124"/>
    </row>
    <row r="79" spans="2:32" x14ac:dyDescent="0.25">
      <c r="D79" s="1"/>
      <c r="E79" s="184" t="str">
        <f t="shared" ref="E79:E84" si="52">IF(D79="","","1010V07213")</f>
        <v/>
      </c>
      <c r="F79" s="184" t="str">
        <f t="shared" ref="F79:F84" si="53">IF(D79="","","1000")</f>
        <v/>
      </c>
      <c r="G79" s="8" t="str">
        <f t="shared" ref="G79:G84" si="54">IF(D79="","","310")</f>
        <v/>
      </c>
      <c r="H79" s="51"/>
      <c r="I79" s="8" t="str">
        <f>IF($D79="","",IF(VLOOKUP($D79,TaskNEU!$B$3:$D$36,3,FALSE)="","",VLOOKUP($D79,TaskNEU!$B$3:$D$36,3,FALSE)))</f>
        <v/>
      </c>
      <c r="J79" s="8" t="str">
        <f>IF($D79="","",IF(VLOOKUP($D79,TaskNEU!$B$10:$E$36,2,FALSE)="","",VLOOKUP($D79,TaskNEU!$B$10:$E$36,2,FALSE)))</f>
        <v/>
      </c>
      <c r="K79" s="8"/>
      <c r="L79" s="8" t="str">
        <f>IF($D79="","",IF(VLOOKUP($D79,TaskNEU!$B$10:$E$36,4,FALSE)="","",VLOOKUP($D79,TaskNEU!$B$10:$E$36,4,FALSE)))</f>
        <v/>
      </c>
      <c r="M79" s="8"/>
      <c r="N79" s="8" t="str">
        <f t="shared" ref="N79:N84" si="55">IF(D79="","","A238")</f>
        <v/>
      </c>
      <c r="O79" s="8"/>
      <c r="P79" s="91">
        <f t="shared" si="51"/>
        <v>0</v>
      </c>
      <c r="Q79" s="41">
        <v>0</v>
      </c>
      <c r="R79" s="41">
        <v>0</v>
      </c>
      <c r="S79" s="41">
        <v>0</v>
      </c>
      <c r="T79" s="41">
        <v>0</v>
      </c>
      <c r="U79" s="41">
        <v>0</v>
      </c>
      <c r="V79" s="41">
        <v>0</v>
      </c>
      <c r="W79" s="41">
        <v>0</v>
      </c>
      <c r="Z79" s="124"/>
      <c r="AA79" s="124"/>
      <c r="AB79" s="124"/>
      <c r="AC79" s="124"/>
      <c r="AD79" s="124"/>
      <c r="AE79" s="124"/>
      <c r="AF79" s="124"/>
    </row>
    <row r="80" spans="2:32" x14ac:dyDescent="0.25">
      <c r="D80" s="1"/>
      <c r="E80" s="184" t="str">
        <f t="shared" si="52"/>
        <v/>
      </c>
      <c r="F80" s="184" t="str">
        <f t="shared" si="53"/>
        <v/>
      </c>
      <c r="G80" s="8" t="str">
        <f t="shared" si="54"/>
        <v/>
      </c>
      <c r="H80" s="51"/>
      <c r="I80" s="8" t="str">
        <f>IF($D80="","",IF(VLOOKUP($D80,TaskNEU!$B$3:$D$36,3,FALSE)="","",VLOOKUP($D80,TaskNEU!$B$3:$D$36,3,FALSE)))</f>
        <v/>
      </c>
      <c r="J80" s="8" t="str">
        <f>IF($D80="","",IF(VLOOKUP($D80,TaskNEU!$B$10:$E$36,2,FALSE)="","",VLOOKUP($D80,TaskNEU!$B$10:$E$36,2,FALSE)))</f>
        <v/>
      </c>
      <c r="K80" s="8"/>
      <c r="L80" s="8" t="str">
        <f>IF($D80="","",IF(VLOOKUP($D80,TaskNEU!$B$10:$E$36,4,FALSE)="","",VLOOKUP($D80,TaskNEU!$B$10:$E$36,4,FALSE)))</f>
        <v/>
      </c>
      <c r="M80" s="8"/>
      <c r="N80" s="8" t="str">
        <f t="shared" si="55"/>
        <v/>
      </c>
      <c r="O80" s="8"/>
      <c r="P80" s="91">
        <f t="shared" si="51"/>
        <v>0</v>
      </c>
      <c r="Q80" s="41">
        <v>0</v>
      </c>
      <c r="R80" s="41">
        <v>0</v>
      </c>
      <c r="S80" s="41">
        <v>0</v>
      </c>
      <c r="T80" s="41">
        <v>0</v>
      </c>
      <c r="U80" s="41">
        <v>0</v>
      </c>
      <c r="V80" s="41">
        <v>0</v>
      </c>
      <c r="W80" s="41">
        <v>0</v>
      </c>
      <c r="Z80" s="124"/>
      <c r="AA80" s="124"/>
      <c r="AB80" s="124"/>
      <c r="AC80" s="124"/>
      <c r="AD80" s="124"/>
      <c r="AE80" s="124"/>
      <c r="AF80" s="124"/>
    </row>
    <row r="81" spans="2:32" x14ac:dyDescent="0.25">
      <c r="D81" s="1"/>
      <c r="E81" s="184" t="str">
        <f t="shared" si="52"/>
        <v/>
      </c>
      <c r="F81" s="184" t="str">
        <f t="shared" si="53"/>
        <v/>
      </c>
      <c r="G81" s="8" t="str">
        <f t="shared" si="54"/>
        <v/>
      </c>
      <c r="H81" s="51"/>
      <c r="I81" s="8" t="str">
        <f>IF($D81="","",IF(VLOOKUP($D81,TaskNEU!$B$3:$D$36,3,FALSE)="","",VLOOKUP($D81,TaskNEU!$B$3:$D$36,3,FALSE)))</f>
        <v/>
      </c>
      <c r="J81" s="8" t="str">
        <f>IF($D81="","",IF(VLOOKUP($D81,TaskNEU!$B$10:$E$36,2,FALSE)="","",VLOOKUP($D81,TaskNEU!$B$10:$E$36,2,FALSE)))</f>
        <v/>
      </c>
      <c r="K81" s="8"/>
      <c r="L81" s="8" t="str">
        <f>IF($D81="","",IF(VLOOKUP($D81,TaskNEU!$B$10:$E$36,4,FALSE)="","",VLOOKUP($D81,TaskNEU!$B$10:$E$36,4,FALSE)))</f>
        <v/>
      </c>
      <c r="M81" s="8"/>
      <c r="N81" s="8" t="str">
        <f t="shared" si="55"/>
        <v/>
      </c>
      <c r="O81" s="8"/>
      <c r="P81" s="91">
        <f t="shared" si="51"/>
        <v>0</v>
      </c>
      <c r="Q81" s="41">
        <v>0</v>
      </c>
      <c r="R81" s="41">
        <v>0</v>
      </c>
      <c r="S81" s="41">
        <v>0</v>
      </c>
      <c r="T81" s="41">
        <v>0</v>
      </c>
      <c r="U81" s="41">
        <v>0</v>
      </c>
      <c r="V81" s="41">
        <v>0</v>
      </c>
      <c r="W81" s="41">
        <v>0</v>
      </c>
      <c r="Z81" s="124"/>
      <c r="AA81" s="124"/>
      <c r="AB81" s="124"/>
      <c r="AC81" s="124"/>
      <c r="AD81" s="124"/>
      <c r="AE81" s="124"/>
      <c r="AF81" s="124"/>
    </row>
    <row r="82" spans="2:32" x14ac:dyDescent="0.25">
      <c r="D82" s="1"/>
      <c r="E82" s="184" t="str">
        <f t="shared" si="52"/>
        <v/>
      </c>
      <c r="F82" s="184" t="str">
        <f t="shared" si="53"/>
        <v/>
      </c>
      <c r="G82" s="8" t="str">
        <f t="shared" si="54"/>
        <v/>
      </c>
      <c r="H82" s="51"/>
      <c r="I82" s="8" t="str">
        <f>IF($D82="","",IF(VLOOKUP($D82,TaskNEU!$B$3:$D$36,3,FALSE)="","",VLOOKUP($D82,TaskNEU!$B$3:$D$36,3,FALSE)))</f>
        <v/>
      </c>
      <c r="J82" s="8" t="str">
        <f>IF($D82="","",IF(VLOOKUP($D82,TaskNEU!$B$10:$E$36,2,FALSE)="","",VLOOKUP($D82,TaskNEU!$B$10:$E$36,2,FALSE)))</f>
        <v/>
      </c>
      <c r="K82" s="8"/>
      <c r="L82" s="8" t="str">
        <f>IF($D82="","",IF(VLOOKUP($D82,TaskNEU!$B$10:$E$36,4,FALSE)="","",VLOOKUP($D82,TaskNEU!$B$10:$E$36,4,FALSE)))</f>
        <v/>
      </c>
      <c r="M82" s="8"/>
      <c r="N82" s="8" t="str">
        <f t="shared" si="55"/>
        <v/>
      </c>
      <c r="O82" s="8"/>
      <c r="P82" s="91">
        <f t="shared" si="51"/>
        <v>0</v>
      </c>
      <c r="Q82" s="41">
        <v>0</v>
      </c>
      <c r="R82" s="41">
        <v>0</v>
      </c>
      <c r="S82" s="41">
        <v>0</v>
      </c>
      <c r="T82" s="41">
        <v>0</v>
      </c>
      <c r="U82" s="41">
        <v>0</v>
      </c>
      <c r="V82" s="41">
        <v>0</v>
      </c>
      <c r="W82" s="41">
        <v>0</v>
      </c>
      <c r="Z82" s="124"/>
      <c r="AA82" s="124"/>
      <c r="AB82" s="124"/>
      <c r="AC82" s="124"/>
      <c r="AD82" s="124"/>
      <c r="AE82" s="124"/>
      <c r="AF82" s="124"/>
    </row>
    <row r="83" spans="2:32" x14ac:dyDescent="0.25">
      <c r="D83" s="1"/>
      <c r="E83" s="184" t="str">
        <f t="shared" si="52"/>
        <v/>
      </c>
      <c r="F83" s="184" t="str">
        <f t="shared" si="53"/>
        <v/>
      </c>
      <c r="G83" s="8" t="str">
        <f t="shared" si="54"/>
        <v/>
      </c>
      <c r="H83" s="51"/>
      <c r="I83" s="8" t="str">
        <f>IF($D83="","",IF(VLOOKUP($D83,TaskNEU!$B$3:$D$36,3,FALSE)="","",VLOOKUP($D83,TaskNEU!$B$3:$D$36,3,FALSE)))</f>
        <v/>
      </c>
      <c r="J83" s="8" t="str">
        <f>IF($D83="","",IF(VLOOKUP($D83,TaskNEU!$B$10:$E$36,2,FALSE)="","",VLOOKUP($D83,TaskNEU!$B$10:$E$36,2,FALSE)))</f>
        <v/>
      </c>
      <c r="K83" s="8"/>
      <c r="L83" s="8" t="str">
        <f>IF($D83="","",IF(VLOOKUP($D83,TaskNEU!$B$10:$E$36,4,FALSE)="","",VLOOKUP($D83,TaskNEU!$B$10:$E$36,4,FALSE)))</f>
        <v/>
      </c>
      <c r="M83" s="8"/>
      <c r="N83" s="8" t="str">
        <f t="shared" si="55"/>
        <v/>
      </c>
      <c r="O83" s="8"/>
      <c r="P83" s="91">
        <f t="shared" si="51"/>
        <v>0</v>
      </c>
      <c r="Q83" s="41">
        <v>0</v>
      </c>
      <c r="R83" s="41">
        <v>0</v>
      </c>
      <c r="S83" s="41">
        <v>0</v>
      </c>
      <c r="T83" s="41">
        <v>0</v>
      </c>
      <c r="U83" s="41">
        <v>0</v>
      </c>
      <c r="V83" s="41">
        <v>0</v>
      </c>
      <c r="W83" s="41">
        <v>0</v>
      </c>
      <c r="Z83" s="124"/>
      <c r="AA83" s="124"/>
      <c r="AB83" s="124"/>
      <c r="AC83" s="124"/>
      <c r="AD83" s="124"/>
      <c r="AE83" s="124"/>
      <c r="AF83" s="124"/>
    </row>
    <row r="84" spans="2:32" x14ac:dyDescent="0.25">
      <c r="D84" s="1"/>
      <c r="E84" s="184" t="str">
        <f t="shared" si="52"/>
        <v/>
      </c>
      <c r="F84" s="184" t="str">
        <f t="shared" si="53"/>
        <v/>
      </c>
      <c r="G84" s="8" t="str">
        <f t="shared" si="54"/>
        <v/>
      </c>
      <c r="H84" s="51"/>
      <c r="I84" s="8" t="str">
        <f>IF($D84="","",IF(VLOOKUP($D84,TaskNEU!$B$3:$D$36,3,FALSE)="","",VLOOKUP($D84,TaskNEU!$B$3:$D$36,3,FALSE)))</f>
        <v/>
      </c>
      <c r="J84" s="8" t="str">
        <f>IF($D84="","",IF(VLOOKUP($D84,TaskNEU!$B$10:$E$36,2,FALSE)="","",VLOOKUP($D84,TaskNEU!$B$10:$E$36,2,FALSE)))</f>
        <v/>
      </c>
      <c r="K84" s="8"/>
      <c r="L84" s="8" t="str">
        <f>IF($D84="","",IF(VLOOKUP($D84,TaskNEU!$B$10:$E$36,4,FALSE)="","",VLOOKUP($D84,TaskNEU!$B$10:$E$36,4,FALSE)))</f>
        <v/>
      </c>
      <c r="M84" s="8"/>
      <c r="N84" s="8" t="str">
        <f t="shared" si="55"/>
        <v/>
      </c>
      <c r="O84" s="8"/>
      <c r="P84" s="91">
        <f t="shared" si="51"/>
        <v>0</v>
      </c>
      <c r="Q84" s="41">
        <v>0</v>
      </c>
      <c r="R84" s="41">
        <v>0</v>
      </c>
      <c r="S84" s="41">
        <v>0</v>
      </c>
      <c r="T84" s="41">
        <v>0</v>
      </c>
      <c r="U84" s="41">
        <v>0</v>
      </c>
      <c r="V84" s="41">
        <v>0</v>
      </c>
      <c r="W84" s="41">
        <v>0</v>
      </c>
      <c r="Z84" s="124"/>
      <c r="AA84" s="124"/>
      <c r="AB84" s="124"/>
      <c r="AC84" s="124"/>
      <c r="AD84" s="124"/>
      <c r="AE84" s="124"/>
      <c r="AF84" s="124"/>
    </row>
    <row r="85" spans="2:32" ht="15.75" thickBot="1" x14ac:dyDescent="0.3">
      <c r="B85" s="56"/>
      <c r="C85" s="56"/>
      <c r="D85" s="56"/>
      <c r="E85" s="186"/>
      <c r="F85" s="186"/>
      <c r="G85" s="56"/>
      <c r="H85" s="56"/>
      <c r="I85" s="56"/>
      <c r="J85" s="56"/>
      <c r="K85" s="56"/>
      <c r="L85" s="56"/>
      <c r="M85" s="56"/>
      <c r="N85" s="56"/>
      <c r="O85" s="56"/>
      <c r="P85" s="73">
        <f>SUM(Q72:W84)</f>
        <v>39.5</v>
      </c>
      <c r="Q85" s="72">
        <f>SUM(Q72:Q84)</f>
        <v>9</v>
      </c>
      <c r="R85" s="72">
        <f t="shared" ref="R85:W85" si="56">SUM(R72:R84)</f>
        <v>8</v>
      </c>
      <c r="S85" s="72">
        <f t="shared" si="56"/>
        <v>7.5</v>
      </c>
      <c r="T85" s="72">
        <f t="shared" si="56"/>
        <v>8.5</v>
      </c>
      <c r="U85" s="72">
        <f t="shared" si="56"/>
        <v>6.5</v>
      </c>
      <c r="V85" s="72">
        <f t="shared" si="56"/>
        <v>0</v>
      </c>
      <c r="W85" s="72">
        <f t="shared" si="56"/>
        <v>0</v>
      </c>
      <c r="X85" s="118"/>
      <c r="Y85" s="56"/>
      <c r="Z85" s="56"/>
      <c r="AA85" s="56"/>
      <c r="AB85" s="56"/>
      <c r="AC85" s="56"/>
      <c r="AD85" s="56"/>
      <c r="AE85" s="56"/>
      <c r="AF85" s="56"/>
    </row>
    <row r="86" spans="2:32" x14ac:dyDescent="0.25">
      <c r="B86" s="55"/>
      <c r="C86" s="55"/>
      <c r="D86" s="55"/>
      <c r="E86" s="178"/>
      <c r="F86" s="178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55"/>
      <c r="W86" s="55"/>
    </row>
    <row r="87" spans="2:32" x14ac:dyDescent="0.25">
      <c r="B87" s="57"/>
      <c r="C87" s="58"/>
      <c r="D87" s="1" t="s">
        <v>40</v>
      </c>
      <c r="E87" s="179">
        <f>E60+1</f>
        <v>8</v>
      </c>
      <c r="F87" s="179" t="s">
        <v>0</v>
      </c>
      <c r="G87" s="2">
        <f>SUM(I90:I96)</f>
        <v>1.6770833333333335</v>
      </c>
      <c r="H87" s="221" t="s">
        <v>1</v>
      </c>
      <c r="I87" s="222"/>
      <c r="J87" s="2">
        <f>SUM(J90:J96)</f>
        <v>1.6770833333333335</v>
      </c>
      <c r="K87" s="67"/>
      <c r="L87" s="68"/>
      <c r="M87" s="35"/>
      <c r="N87" s="40" t="s">
        <v>57</v>
      </c>
      <c r="O87" s="8"/>
    </row>
    <row r="88" spans="2:32" x14ac:dyDescent="0.25">
      <c r="B88" s="59"/>
      <c r="C88" s="60"/>
      <c r="D88" s="1"/>
      <c r="E88" s="179"/>
      <c r="F88" s="180" t="s">
        <v>48</v>
      </c>
      <c r="G88" s="2">
        <f>SUM(Q90:Q96)/24</f>
        <v>0</v>
      </c>
      <c r="H88" s="52"/>
      <c r="I88" s="21" t="s">
        <v>58</v>
      </c>
      <c r="J88" s="2">
        <f>P112/24</f>
        <v>0.65625</v>
      </c>
      <c r="K88" s="67"/>
      <c r="L88" s="69"/>
      <c r="M88" s="7"/>
      <c r="O88" s="8" t="s">
        <v>191</v>
      </c>
      <c r="Q88" s="93">
        <f>SUM(Q90:Q96)</f>
        <v>0</v>
      </c>
      <c r="R88" s="93">
        <f>SUM(R90:R96)</f>
        <v>2.25</v>
      </c>
      <c r="S88" s="93">
        <f>SUM(S90:S96)</f>
        <v>1.9999999999999991</v>
      </c>
      <c r="T88" s="110" t="s">
        <v>188</v>
      </c>
      <c r="U88" s="58"/>
      <c r="V88" s="112" t="s">
        <v>189</v>
      </c>
    </row>
    <row r="89" spans="2:32" x14ac:dyDescent="0.25">
      <c r="B89" s="61"/>
      <c r="C89" s="62"/>
      <c r="D89" s="1" t="s">
        <v>2</v>
      </c>
      <c r="E89" s="179" t="s">
        <v>3</v>
      </c>
      <c r="F89" s="179" t="s">
        <v>4</v>
      </c>
      <c r="G89" s="1" t="s">
        <v>5</v>
      </c>
      <c r="H89" s="52" t="s">
        <v>6</v>
      </c>
      <c r="I89" s="52" t="s">
        <v>7</v>
      </c>
      <c r="J89" s="52" t="s">
        <v>45</v>
      </c>
      <c r="K89" s="1" t="s">
        <v>44</v>
      </c>
      <c r="L89" s="219" t="s">
        <v>21</v>
      </c>
      <c r="M89" s="220"/>
      <c r="N89" s="219" t="s">
        <v>18</v>
      </c>
      <c r="O89" s="220"/>
      <c r="P89" s="42" t="s">
        <v>56</v>
      </c>
      <c r="Q89" s="93" t="s">
        <v>138</v>
      </c>
      <c r="R89" s="52" t="s">
        <v>139</v>
      </c>
      <c r="S89" s="52" t="s">
        <v>140</v>
      </c>
      <c r="T89" s="111" t="s">
        <v>187</v>
      </c>
      <c r="U89" s="62"/>
      <c r="V89" s="113" t="s">
        <v>118</v>
      </c>
    </row>
    <row r="90" spans="2:32" x14ac:dyDescent="0.25">
      <c r="B90" s="21" t="str">
        <f>IF(C90=1,"Mo",IF(C90=2,"Di",IF(C90=3,"Mi",IF(C90=4,"Do",IF(C90=5,"Fr",IF(C90=6,"Sa",IF(C90=7,"So","")))))))</f>
        <v>Mo</v>
      </c>
      <c r="C90" s="1">
        <f>WEEKDAY(D90,2)</f>
        <v>1</v>
      </c>
      <c r="D90" s="3">
        <f>D63+7</f>
        <v>46069</v>
      </c>
      <c r="E90" s="187">
        <v>0.3125</v>
      </c>
      <c r="F90" s="188">
        <v>0.76041666666666663</v>
      </c>
      <c r="G90" s="5">
        <f t="shared" ref="G90:G96" si="57">IF(AND(H90&gt;6/24,H90&lt;=9.5/24),0.5/24,IF(H90&gt;9.5/24,0.75/24,0))</f>
        <v>3.125E-2</v>
      </c>
      <c r="H90" s="22">
        <f>((IF(E90*24&gt;F90*24,F90*24+(24-E90*24),F90*24-E90*24))/24)-(V90/24)</f>
        <v>0.44791666666666669</v>
      </c>
      <c r="I90" s="6">
        <f>H90-G90</f>
        <v>0.41666666666666669</v>
      </c>
      <c r="J90" s="6">
        <f>IF(C90&lt;6,I90,0/24)</f>
        <v>0.41666666666666669</v>
      </c>
      <c r="K90" s="23">
        <f>IF(C90&lt;5,((0.5+8.5+(E90*24))/24),IF(C90=5,((6+(E90*24))/24),))</f>
        <v>0.6875</v>
      </c>
      <c r="L90" s="219" t="s">
        <v>23</v>
      </c>
      <c r="M90" s="220"/>
      <c r="N90" s="219"/>
      <c r="O90" s="220"/>
      <c r="P90" s="39">
        <f>IF(I90="","",I90*24)</f>
        <v>10</v>
      </c>
      <c r="Q90" s="71"/>
      <c r="R90" s="94">
        <f t="shared" ref="R90:R96" si="58">IF(C90&lt;5,(IF(P90&gt;8.5,P90-8.5)),IF(C90=5,(IF(P90&gt;6,P90-6)),IF(C90&gt;5,P90)))</f>
        <v>1.5</v>
      </c>
      <c r="S90" s="94" t="b">
        <f>IF(C90&lt;5,(IF(P90&lt;8.5,8.5-P90)),IF(C90=5,(IF(P90&lt;6,6-P90))))</f>
        <v>0</v>
      </c>
      <c r="T90" s="24"/>
      <c r="U90" s="25"/>
      <c r="V90" s="109">
        <v>0</v>
      </c>
      <c r="W90" s="114">
        <f t="shared" ref="W90:W96" si="59">D90</f>
        <v>46069</v>
      </c>
      <c r="X90" s="21" t="str">
        <f>B90</f>
        <v>Mo</v>
      </c>
    </row>
    <row r="91" spans="2:32" x14ac:dyDescent="0.25">
      <c r="B91" s="21" t="str">
        <f t="shared" ref="B91:B96" si="60">IF(C91=1,"Mo",IF(C91=2,"Di",IF(C91=3,"Mi",IF(C91=4,"Do",IF(C91=5,"Fr",IF(C91=6,"Sa",IF(C91=7,"So","")))))))</f>
        <v>Di</v>
      </c>
      <c r="C91" s="1">
        <f t="shared" ref="C91:C96" si="61">WEEKDAY(D91,2)</f>
        <v>2</v>
      </c>
      <c r="D91" s="3">
        <f t="shared" ref="D91:D96" si="62">D90+1</f>
        <v>46070</v>
      </c>
      <c r="E91" s="4">
        <v>0.35416666666666669</v>
      </c>
      <c r="F91" s="182">
        <v>0.64583333333333337</v>
      </c>
      <c r="G91" s="5">
        <f t="shared" si="57"/>
        <v>2.0833333333333332E-2</v>
      </c>
      <c r="H91" s="22">
        <f>((IF(E91*24&gt;F91*24,F91*24+(24-E91*24),F91*24-E91*24))/24)-(V91/24)</f>
        <v>0.29166666666666669</v>
      </c>
      <c r="I91" s="6">
        <f t="shared" ref="I91:I96" si="63">H91-G91</f>
        <v>0.27083333333333337</v>
      </c>
      <c r="J91" s="6">
        <f t="shared" ref="J91:J96" si="64">IF(C91&lt;6,I91,0/24)</f>
        <v>0.27083333333333337</v>
      </c>
      <c r="K91" s="23">
        <f>IF(C91&lt;5,((0.5+8.5+(E91*24))/24),IF(C91=5,((6+(E91*24))/24),))</f>
        <v>0.72916666666666663</v>
      </c>
      <c r="L91" s="219" t="s">
        <v>23</v>
      </c>
      <c r="M91" s="220"/>
      <c r="N91" s="219"/>
      <c r="O91" s="220"/>
      <c r="P91" s="39">
        <f t="shared" ref="P91:P96" si="65">IF(I91="","",I91*24)</f>
        <v>6.5000000000000009</v>
      </c>
      <c r="Q91" s="71"/>
      <c r="R91" s="94" t="b">
        <f t="shared" si="58"/>
        <v>0</v>
      </c>
      <c r="S91" s="94">
        <f t="shared" ref="S91:S96" si="66">IF(C91&lt;5,(IF(P91&lt;8.5,8.5-P91)),IF(C91=5,(IF(P91&lt;6,6-P91))))</f>
        <v>1.9999999999999991</v>
      </c>
      <c r="T91" s="24"/>
      <c r="U91" s="25"/>
      <c r="V91" s="109">
        <v>0</v>
      </c>
      <c r="W91" s="114">
        <f t="shared" si="59"/>
        <v>46070</v>
      </c>
      <c r="X91" s="21" t="str">
        <f t="shared" ref="X91:X96" si="67">B91</f>
        <v>Di</v>
      </c>
    </row>
    <row r="92" spans="2:32" x14ac:dyDescent="0.25">
      <c r="B92" s="21" t="str">
        <f t="shared" si="60"/>
        <v>Mi</v>
      </c>
      <c r="C92" s="1">
        <f t="shared" si="61"/>
        <v>3</v>
      </c>
      <c r="D92" s="3">
        <f t="shared" si="62"/>
        <v>46071</v>
      </c>
      <c r="E92" s="181">
        <v>0.34375</v>
      </c>
      <c r="F92" s="182">
        <v>0.76041666666666663</v>
      </c>
      <c r="G92" s="5">
        <f t="shared" si="57"/>
        <v>3.125E-2</v>
      </c>
      <c r="H92" s="22">
        <f t="shared" ref="H92:H96" si="68">((IF(E92*24&gt;F92*24,F92*24+(24-E92*24),F92*24-E92*24))/24)-(V92/24)</f>
        <v>0.41666666666666669</v>
      </c>
      <c r="I92" s="6">
        <f t="shared" si="63"/>
        <v>0.38541666666666669</v>
      </c>
      <c r="J92" s="6">
        <f t="shared" si="64"/>
        <v>0.38541666666666669</v>
      </c>
      <c r="K92" s="23">
        <f t="shared" ref="K92:K96" si="69">IF(C92&lt;5,((0.5+8.5+(E92*24))/24),IF(C92=5,((6+(E92*24))/24),))</f>
        <v>0.71875</v>
      </c>
      <c r="L92" s="219" t="s">
        <v>23</v>
      </c>
      <c r="M92" s="220"/>
      <c r="N92" s="219"/>
      <c r="O92" s="220"/>
      <c r="P92" s="39">
        <f t="shared" si="65"/>
        <v>9.25</v>
      </c>
      <c r="Q92" s="71"/>
      <c r="R92" s="94">
        <f t="shared" si="58"/>
        <v>0.75</v>
      </c>
      <c r="S92" s="94" t="b">
        <f t="shared" si="66"/>
        <v>0</v>
      </c>
      <c r="T92" s="24"/>
      <c r="U92" s="25"/>
      <c r="V92" s="109">
        <v>0</v>
      </c>
      <c r="W92" s="114">
        <f t="shared" si="59"/>
        <v>46071</v>
      </c>
      <c r="X92" s="21" t="str">
        <f t="shared" si="67"/>
        <v>Mi</v>
      </c>
    </row>
    <row r="93" spans="2:32" x14ac:dyDescent="0.25">
      <c r="B93" s="21" t="str">
        <f t="shared" si="60"/>
        <v>Do</v>
      </c>
      <c r="C93" s="1">
        <f t="shared" si="61"/>
        <v>4</v>
      </c>
      <c r="D93" s="3">
        <f t="shared" si="62"/>
        <v>46072</v>
      </c>
      <c r="E93" s="181">
        <v>0.36458333333333331</v>
      </c>
      <c r="F93" s="182">
        <v>0.73958333333333337</v>
      </c>
      <c r="G93" s="5">
        <f t="shared" si="57"/>
        <v>2.0833333333333332E-2</v>
      </c>
      <c r="H93" s="22">
        <f t="shared" si="68"/>
        <v>0.375</v>
      </c>
      <c r="I93" s="6">
        <f t="shared" si="63"/>
        <v>0.35416666666666669</v>
      </c>
      <c r="J93" s="6">
        <f t="shared" si="64"/>
        <v>0.35416666666666669</v>
      </c>
      <c r="K93" s="23">
        <f t="shared" si="69"/>
        <v>0.73958333333333337</v>
      </c>
      <c r="L93" s="219" t="s">
        <v>23</v>
      </c>
      <c r="M93" s="220"/>
      <c r="N93" s="219"/>
      <c r="O93" s="220"/>
      <c r="P93" s="39">
        <f t="shared" si="65"/>
        <v>8.5</v>
      </c>
      <c r="Q93" s="71"/>
      <c r="R93" s="94" t="b">
        <f t="shared" si="58"/>
        <v>0</v>
      </c>
      <c r="S93" s="94" t="b">
        <f t="shared" si="66"/>
        <v>0</v>
      </c>
      <c r="T93" s="24"/>
      <c r="U93" s="25"/>
      <c r="V93" s="109">
        <v>0</v>
      </c>
      <c r="W93" s="114">
        <f t="shared" si="59"/>
        <v>46072</v>
      </c>
      <c r="X93" s="21" t="str">
        <f t="shared" si="67"/>
        <v>Do</v>
      </c>
    </row>
    <row r="94" spans="2:32" x14ac:dyDescent="0.25">
      <c r="B94" s="21" t="str">
        <f t="shared" si="60"/>
        <v>Fr</v>
      </c>
      <c r="C94" s="1">
        <f t="shared" si="61"/>
        <v>5</v>
      </c>
      <c r="D94" s="3">
        <f t="shared" si="62"/>
        <v>46073</v>
      </c>
      <c r="E94" s="181">
        <v>0.36458333333333331</v>
      </c>
      <c r="F94" s="182">
        <v>0.61458333333333337</v>
      </c>
      <c r="G94" s="5">
        <f t="shared" si="57"/>
        <v>0</v>
      </c>
      <c r="H94" s="22">
        <f t="shared" si="68"/>
        <v>0.25</v>
      </c>
      <c r="I94" s="6">
        <f t="shared" si="63"/>
        <v>0.25</v>
      </c>
      <c r="J94" s="6">
        <f t="shared" si="64"/>
        <v>0.25</v>
      </c>
      <c r="K94" s="23">
        <f t="shared" si="69"/>
        <v>0.61458333333333337</v>
      </c>
      <c r="L94" s="219" t="s">
        <v>23</v>
      </c>
      <c r="M94" s="220"/>
      <c r="N94" s="219"/>
      <c r="O94" s="220"/>
      <c r="P94" s="39">
        <f t="shared" si="65"/>
        <v>6</v>
      </c>
      <c r="Q94" s="71"/>
      <c r="R94" s="94" t="b">
        <f t="shared" si="58"/>
        <v>0</v>
      </c>
      <c r="S94" s="94" t="b">
        <f t="shared" si="66"/>
        <v>0</v>
      </c>
      <c r="T94" s="24"/>
      <c r="U94" s="25"/>
      <c r="V94" s="109">
        <v>0</v>
      </c>
      <c r="W94" s="114">
        <f t="shared" si="59"/>
        <v>46073</v>
      </c>
      <c r="X94" s="21" t="str">
        <f t="shared" si="67"/>
        <v>Fr</v>
      </c>
    </row>
    <row r="95" spans="2:32" x14ac:dyDescent="0.25">
      <c r="B95" s="21" t="str">
        <f t="shared" si="60"/>
        <v>Sa</v>
      </c>
      <c r="C95" s="1">
        <f t="shared" si="61"/>
        <v>6</v>
      </c>
      <c r="D95" s="3">
        <f t="shared" si="62"/>
        <v>46074</v>
      </c>
      <c r="E95" s="181"/>
      <c r="F95" s="182"/>
      <c r="G95" s="5">
        <f t="shared" si="57"/>
        <v>0</v>
      </c>
      <c r="H95" s="22">
        <f t="shared" si="68"/>
        <v>0</v>
      </c>
      <c r="I95" s="6">
        <f t="shared" si="63"/>
        <v>0</v>
      </c>
      <c r="J95" s="6">
        <f t="shared" si="64"/>
        <v>0</v>
      </c>
      <c r="K95" s="23">
        <f t="shared" si="69"/>
        <v>0</v>
      </c>
      <c r="L95" s="219"/>
      <c r="M95" s="220"/>
      <c r="N95" s="219"/>
      <c r="O95" s="220"/>
      <c r="P95" s="39">
        <f t="shared" si="65"/>
        <v>0</v>
      </c>
      <c r="Q95" s="71"/>
      <c r="R95" s="94">
        <f t="shared" si="58"/>
        <v>0</v>
      </c>
      <c r="S95" s="94" t="b">
        <f t="shared" si="66"/>
        <v>0</v>
      </c>
      <c r="T95" s="24"/>
      <c r="U95" s="25"/>
      <c r="V95" s="109">
        <v>0</v>
      </c>
      <c r="W95" s="114">
        <f t="shared" si="59"/>
        <v>46074</v>
      </c>
      <c r="X95" s="21" t="str">
        <f t="shared" si="67"/>
        <v>Sa</v>
      </c>
    </row>
    <row r="96" spans="2:32" x14ac:dyDescent="0.25">
      <c r="B96" s="21" t="str">
        <f t="shared" si="60"/>
        <v>So</v>
      </c>
      <c r="C96" s="1">
        <f t="shared" si="61"/>
        <v>7</v>
      </c>
      <c r="D96" s="3">
        <f t="shared" si="62"/>
        <v>46075</v>
      </c>
      <c r="E96" s="181"/>
      <c r="F96" s="182"/>
      <c r="G96" s="5">
        <f t="shared" si="57"/>
        <v>0</v>
      </c>
      <c r="H96" s="22">
        <f t="shared" si="68"/>
        <v>0</v>
      </c>
      <c r="I96" s="6">
        <f t="shared" si="63"/>
        <v>0</v>
      </c>
      <c r="J96" s="6">
        <f t="shared" si="64"/>
        <v>0</v>
      </c>
      <c r="K96" s="23">
        <f t="shared" si="69"/>
        <v>0</v>
      </c>
      <c r="L96" s="219"/>
      <c r="M96" s="220"/>
      <c r="N96" s="219"/>
      <c r="O96" s="220"/>
      <c r="P96" s="39">
        <f t="shared" si="65"/>
        <v>0</v>
      </c>
      <c r="Q96" s="71"/>
      <c r="R96" s="94">
        <f t="shared" si="58"/>
        <v>0</v>
      </c>
      <c r="S96" s="94" t="b">
        <f t="shared" si="66"/>
        <v>0</v>
      </c>
      <c r="T96" s="24"/>
      <c r="U96" s="25"/>
      <c r="V96" s="109">
        <v>0</v>
      </c>
      <c r="W96" s="114">
        <f t="shared" si="59"/>
        <v>46075</v>
      </c>
      <c r="X96" s="21" t="str">
        <f t="shared" si="67"/>
        <v>So</v>
      </c>
    </row>
    <row r="97" spans="2:32" x14ac:dyDescent="0.25">
      <c r="F97" s="183"/>
      <c r="G97" s="18"/>
      <c r="H97" s="18"/>
      <c r="I97" s="19"/>
      <c r="J97" s="19"/>
      <c r="K97" s="18"/>
      <c r="L97" s="18"/>
      <c r="M97" s="18"/>
      <c r="N97" s="20"/>
      <c r="O97" s="20"/>
      <c r="P97" s="18"/>
      <c r="Q97" s="145">
        <f>D90</f>
        <v>46069</v>
      </c>
      <c r="R97" s="145">
        <f>D91</f>
        <v>46070</v>
      </c>
      <c r="S97" s="145">
        <f>D92</f>
        <v>46071</v>
      </c>
      <c r="T97" s="145">
        <f>D93</f>
        <v>46072</v>
      </c>
      <c r="U97" s="145">
        <f>D94</f>
        <v>46073</v>
      </c>
      <c r="V97" s="145">
        <f>D95</f>
        <v>46074</v>
      </c>
      <c r="W97" s="145">
        <f>D96</f>
        <v>46075</v>
      </c>
      <c r="Z97" s="84" t="s">
        <v>208</v>
      </c>
      <c r="AA97" s="85"/>
      <c r="AB97" s="85"/>
      <c r="AC97" s="85"/>
      <c r="AD97" s="85"/>
      <c r="AE97" s="85"/>
      <c r="AF97" s="86"/>
    </row>
    <row r="98" spans="2:32" x14ac:dyDescent="0.25">
      <c r="D98" s="51" t="s">
        <v>30</v>
      </c>
      <c r="E98" s="184" t="s">
        <v>8</v>
      </c>
      <c r="F98" s="184" t="s">
        <v>97</v>
      </c>
      <c r="G98" s="8" t="s">
        <v>98</v>
      </c>
      <c r="H98" s="51" t="s">
        <v>9</v>
      </c>
      <c r="I98" s="8" t="s">
        <v>10</v>
      </c>
      <c r="J98" s="8" t="s">
        <v>11</v>
      </c>
      <c r="K98" s="8" t="s">
        <v>99</v>
      </c>
      <c r="L98" s="8" t="s">
        <v>100</v>
      </c>
      <c r="M98" s="8" t="s">
        <v>101</v>
      </c>
      <c r="N98" s="8" t="s">
        <v>102</v>
      </c>
      <c r="O98" s="8"/>
      <c r="P98" s="8" t="s">
        <v>90</v>
      </c>
      <c r="Q98" s="8" t="s">
        <v>60</v>
      </c>
      <c r="R98" s="8" t="s">
        <v>61</v>
      </c>
      <c r="S98" s="8" t="s">
        <v>62</v>
      </c>
      <c r="T98" s="8" t="s">
        <v>63</v>
      </c>
      <c r="U98" s="8" t="s">
        <v>64</v>
      </c>
      <c r="V98" s="8" t="s">
        <v>65</v>
      </c>
      <c r="W98" s="8" t="s">
        <v>66</v>
      </c>
      <c r="Z98" s="8" t="s">
        <v>60</v>
      </c>
      <c r="AA98" s="8" t="s">
        <v>61</v>
      </c>
      <c r="AB98" s="8" t="s">
        <v>62</v>
      </c>
      <c r="AC98" s="8" t="s">
        <v>63</v>
      </c>
      <c r="AD98" s="8" t="s">
        <v>64</v>
      </c>
      <c r="AE98" s="8" t="s">
        <v>65</v>
      </c>
      <c r="AF98" s="8" t="s">
        <v>66</v>
      </c>
    </row>
    <row r="99" spans="2:32" x14ac:dyDescent="0.25">
      <c r="D99" s="1" t="s">
        <v>95</v>
      </c>
      <c r="E99" s="179"/>
      <c r="F99" s="179"/>
      <c r="G99" s="1"/>
      <c r="H99" s="42"/>
      <c r="I99" s="42" t="str">
        <f>IF($D99="","",IF(VLOOKUP($D99,TaskNEU!$B$3:$D$36,3,FALSE)="","",VLOOKUP($D99,TaskNEU!$B$3:$D$36,3,FALSE)))</f>
        <v/>
      </c>
      <c r="J99" s="1"/>
      <c r="K99" s="1"/>
      <c r="L99" s="1"/>
      <c r="M99" s="1"/>
      <c r="N99" s="1"/>
      <c r="O99" s="1"/>
      <c r="P99" s="91">
        <f>SUM(Q99:W99)</f>
        <v>0</v>
      </c>
      <c r="Q99" s="91"/>
      <c r="R99" s="91"/>
      <c r="S99" s="91"/>
      <c r="T99" s="91"/>
      <c r="U99" s="91"/>
      <c r="V99" s="91"/>
      <c r="W99" s="91"/>
      <c r="Z99" s="123"/>
      <c r="AA99" s="123"/>
      <c r="AB99" s="123"/>
      <c r="AC99" s="123"/>
      <c r="AD99" s="123"/>
      <c r="AE99" s="123"/>
      <c r="AF99" s="123"/>
    </row>
    <row r="100" spans="2:32" x14ac:dyDescent="0.25">
      <c r="D100" s="1"/>
      <c r="E100" s="179"/>
      <c r="F100" s="179"/>
      <c r="G100" s="1"/>
      <c r="H100" s="42"/>
      <c r="I100" s="42"/>
      <c r="J100" s="92"/>
      <c r="K100" s="1"/>
      <c r="L100" s="1"/>
      <c r="M100" s="1"/>
      <c r="N100" s="1"/>
      <c r="O100" s="1"/>
      <c r="P100" s="91">
        <f>SUM(Q100:W100)</f>
        <v>0</v>
      </c>
      <c r="Q100" s="91"/>
      <c r="R100" s="91"/>
      <c r="S100" s="91"/>
      <c r="T100" s="91"/>
      <c r="U100" s="91"/>
      <c r="V100" s="91"/>
      <c r="W100" s="91"/>
      <c r="Z100" s="123"/>
      <c r="AA100" s="123"/>
      <c r="AB100" s="123"/>
      <c r="AC100" s="123"/>
      <c r="AD100" s="123"/>
      <c r="AE100" s="123"/>
      <c r="AF100" s="123"/>
    </row>
    <row r="101" spans="2:32" x14ac:dyDescent="0.25">
      <c r="D101" s="1"/>
      <c r="E101" s="184"/>
      <c r="F101" s="184"/>
      <c r="G101" s="8"/>
      <c r="H101" s="51"/>
      <c r="I101" s="8"/>
      <c r="J101" s="8"/>
      <c r="K101" s="8"/>
      <c r="L101" s="8"/>
      <c r="M101" s="8"/>
      <c r="N101" s="8"/>
      <c r="O101" s="8"/>
      <c r="P101" s="91">
        <f>SUM(Q101:W101)</f>
        <v>0</v>
      </c>
      <c r="Q101" s="41">
        <v>0</v>
      </c>
      <c r="R101" s="41">
        <v>0</v>
      </c>
      <c r="S101" s="41">
        <v>0</v>
      </c>
      <c r="T101" s="41">
        <v>0</v>
      </c>
      <c r="U101" s="41">
        <v>0</v>
      </c>
      <c r="V101" s="41">
        <v>0</v>
      </c>
      <c r="W101" s="41">
        <v>0</v>
      </c>
      <c r="Z101" s="124"/>
      <c r="AA101" s="124"/>
      <c r="AB101" s="124"/>
      <c r="AC101" s="124"/>
      <c r="AD101" s="124"/>
      <c r="AE101" s="124"/>
      <c r="AF101" s="124"/>
    </row>
    <row r="102" spans="2:32" x14ac:dyDescent="0.25">
      <c r="D102" s="1"/>
      <c r="E102" s="184"/>
      <c r="F102" s="184"/>
      <c r="G102" s="8"/>
      <c r="H102" s="51"/>
      <c r="I102" s="8"/>
      <c r="J102" s="8"/>
      <c r="K102" s="8"/>
      <c r="L102" s="8"/>
      <c r="M102" s="8"/>
      <c r="N102" s="8"/>
      <c r="O102" s="8"/>
      <c r="P102" s="91">
        <f t="shared" ref="P102:P111" si="70">SUM(Q102:W102)</f>
        <v>12</v>
      </c>
      <c r="Q102" s="41">
        <v>6</v>
      </c>
      <c r="R102" s="41">
        <v>6</v>
      </c>
      <c r="S102" s="41">
        <v>0</v>
      </c>
      <c r="T102" s="41">
        <v>0</v>
      </c>
      <c r="U102" s="41">
        <v>0</v>
      </c>
      <c r="V102" s="41">
        <v>0</v>
      </c>
      <c r="W102" s="41">
        <v>0</v>
      </c>
      <c r="Z102" s="124"/>
      <c r="AA102" s="124"/>
      <c r="AB102" s="124"/>
      <c r="AC102" s="124"/>
      <c r="AD102" s="124"/>
      <c r="AE102" s="124"/>
      <c r="AF102" s="124"/>
    </row>
    <row r="103" spans="2:32" x14ac:dyDescent="0.25">
      <c r="D103" s="1"/>
      <c r="E103" s="184"/>
      <c r="F103" s="184"/>
      <c r="G103" s="8"/>
      <c r="H103" s="51"/>
      <c r="I103" s="8"/>
      <c r="J103" s="8"/>
      <c r="K103" s="8"/>
      <c r="L103" s="8"/>
      <c r="M103" s="8"/>
      <c r="N103" s="8"/>
      <c r="O103" s="8"/>
      <c r="P103" s="91">
        <f t="shared" si="70"/>
        <v>3.75</v>
      </c>
      <c r="Q103" s="41">
        <v>3.75</v>
      </c>
      <c r="R103" s="41">
        <v>0</v>
      </c>
      <c r="S103" s="41">
        <v>0</v>
      </c>
      <c r="T103" s="41">
        <v>0</v>
      </c>
      <c r="U103" s="41">
        <v>0</v>
      </c>
      <c r="V103" s="41">
        <v>0</v>
      </c>
      <c r="W103" s="41">
        <v>0</v>
      </c>
      <c r="Z103" s="124"/>
      <c r="AA103" s="124"/>
      <c r="AB103" s="124"/>
      <c r="AC103" s="124"/>
      <c r="AD103" s="124"/>
      <c r="AE103" s="124"/>
      <c r="AF103" s="124"/>
    </row>
    <row r="104" spans="2:32" x14ac:dyDescent="0.25">
      <c r="D104" s="1"/>
      <c r="E104" s="184" t="str">
        <f t="shared" ref="E104:E111" si="71">IF(D104="","","1010V07213")</f>
        <v/>
      </c>
      <c r="F104" s="184" t="str">
        <f t="shared" ref="F104:F111" si="72">IF(D104="","","1000")</f>
        <v/>
      </c>
      <c r="G104" s="8" t="str">
        <f t="shared" ref="G104:G111" si="73">IF(D104="","","310")</f>
        <v/>
      </c>
      <c r="H104" s="51"/>
      <c r="I104" s="8" t="str">
        <f>IF($D104="","",IF(VLOOKUP($D104,TaskNEU!$B$3:$D$36,3,FALSE)="","",VLOOKUP($D104,TaskNEU!$B$3:$D$36,3,FALSE)))</f>
        <v/>
      </c>
      <c r="J104" s="8" t="str">
        <f>IF($D104="","",IF(VLOOKUP($D104,TaskNEU!$B$10:$E$36,2,FALSE)="","",VLOOKUP($D104,TaskNEU!$B$10:$E$36,2,FALSE)))</f>
        <v/>
      </c>
      <c r="K104" s="8"/>
      <c r="L104" s="8" t="str">
        <f>IF($D104="","",IF(VLOOKUP($D104,TaskNEU!$B$10:$E$36,4,FALSE)="","",VLOOKUP($D104,TaskNEU!$B$10:$E$36,4,FALSE)))</f>
        <v/>
      </c>
      <c r="M104" s="8"/>
      <c r="N104" s="8" t="str">
        <f t="shared" ref="N104:N111" si="74">IF(D104="","","A238")</f>
        <v/>
      </c>
      <c r="O104" s="8"/>
      <c r="P104" s="91">
        <f t="shared" si="70"/>
        <v>0</v>
      </c>
      <c r="Q104" s="41">
        <v>0</v>
      </c>
      <c r="R104" s="41">
        <v>0</v>
      </c>
      <c r="S104" s="41">
        <v>0</v>
      </c>
      <c r="T104" s="41">
        <v>0</v>
      </c>
      <c r="U104" s="41">
        <v>0</v>
      </c>
      <c r="V104" s="41">
        <v>0</v>
      </c>
      <c r="W104" s="41">
        <v>0</v>
      </c>
      <c r="Z104" s="124"/>
      <c r="AA104" s="124"/>
      <c r="AB104" s="124"/>
      <c r="AC104" s="124"/>
      <c r="AD104" s="124"/>
      <c r="AE104" s="124"/>
      <c r="AF104" s="124"/>
    </row>
    <row r="105" spans="2:32" x14ac:dyDescent="0.25">
      <c r="D105" s="1"/>
      <c r="E105" s="184" t="str">
        <f t="shared" si="71"/>
        <v/>
      </c>
      <c r="F105" s="184" t="str">
        <f t="shared" si="72"/>
        <v/>
      </c>
      <c r="G105" s="8" t="str">
        <f t="shared" si="73"/>
        <v/>
      </c>
      <c r="H105" s="51"/>
      <c r="I105" s="8" t="str">
        <f>IF($D105="","",IF(VLOOKUP($D105,TaskNEU!$B$3:$D$36,3,FALSE)="","",VLOOKUP($D105,TaskNEU!$B$3:$D$36,3,FALSE)))</f>
        <v/>
      </c>
      <c r="J105" s="8" t="str">
        <f>IF($D105="","",IF(VLOOKUP($D105,TaskNEU!$B$10:$E$36,2,FALSE)="","",VLOOKUP($D105,TaskNEU!$B$10:$E$36,2,FALSE)))</f>
        <v/>
      </c>
      <c r="K105" s="8"/>
      <c r="L105" s="8" t="str">
        <f>IF($D105="","",IF(VLOOKUP($D105,TaskNEU!$B$10:$E$36,4,FALSE)="","",VLOOKUP($D105,TaskNEU!$B$10:$E$36,4,FALSE)))</f>
        <v/>
      </c>
      <c r="M105" s="8"/>
      <c r="N105" s="8" t="str">
        <f t="shared" si="74"/>
        <v/>
      </c>
      <c r="O105" s="8"/>
      <c r="P105" s="91">
        <f t="shared" si="70"/>
        <v>0</v>
      </c>
      <c r="Q105" s="41">
        <v>0</v>
      </c>
      <c r="R105" s="41">
        <v>0</v>
      </c>
      <c r="S105" s="41">
        <v>0</v>
      </c>
      <c r="T105" s="41">
        <v>0</v>
      </c>
      <c r="U105" s="41">
        <v>0</v>
      </c>
      <c r="V105" s="41">
        <v>0</v>
      </c>
      <c r="W105" s="41">
        <v>0</v>
      </c>
      <c r="Z105" s="124"/>
      <c r="AA105" s="124"/>
      <c r="AB105" s="124"/>
      <c r="AC105" s="124"/>
      <c r="AD105" s="124"/>
      <c r="AE105" s="124"/>
      <c r="AF105" s="124"/>
    </row>
    <row r="106" spans="2:32" x14ac:dyDescent="0.25">
      <c r="D106" s="1"/>
      <c r="E106" s="184" t="str">
        <f t="shared" si="71"/>
        <v/>
      </c>
      <c r="F106" s="184" t="str">
        <f t="shared" si="72"/>
        <v/>
      </c>
      <c r="G106" s="8" t="str">
        <f t="shared" si="73"/>
        <v/>
      </c>
      <c r="H106" s="51"/>
      <c r="I106" s="8" t="str">
        <f>IF($D106="","",IF(VLOOKUP($D106,TaskNEU!$B$3:$D$36,3,FALSE)="","",VLOOKUP($D106,TaskNEU!$B$3:$D$36,3,FALSE)))</f>
        <v/>
      </c>
      <c r="J106" s="8" t="str">
        <f>IF($D106="","",IF(VLOOKUP($D106,TaskNEU!$B$10:$E$36,2,FALSE)="","",VLOOKUP($D106,TaskNEU!$B$10:$E$36,2,FALSE)))</f>
        <v/>
      </c>
      <c r="K106" s="8"/>
      <c r="L106" s="8" t="str">
        <f>IF($D106="","",IF(VLOOKUP($D106,TaskNEU!$B$10:$E$36,4,FALSE)="","",VLOOKUP($D106,TaskNEU!$B$10:$E$36,4,FALSE)))</f>
        <v/>
      </c>
      <c r="M106" s="8"/>
      <c r="N106" s="8" t="str">
        <f t="shared" si="74"/>
        <v/>
      </c>
      <c r="O106" s="8"/>
      <c r="P106" s="91">
        <f t="shared" si="70"/>
        <v>0</v>
      </c>
      <c r="Q106" s="41">
        <v>0</v>
      </c>
      <c r="R106" s="41">
        <v>0</v>
      </c>
      <c r="S106" s="41">
        <v>0</v>
      </c>
      <c r="T106" s="41">
        <v>0</v>
      </c>
      <c r="U106" s="41">
        <v>0</v>
      </c>
      <c r="V106" s="41">
        <v>0</v>
      </c>
      <c r="W106" s="41">
        <v>0</v>
      </c>
      <c r="Z106" s="124"/>
      <c r="AA106" s="124"/>
      <c r="AB106" s="124"/>
      <c r="AC106" s="124"/>
      <c r="AD106" s="124"/>
      <c r="AE106" s="124"/>
      <c r="AF106" s="124"/>
    </row>
    <row r="107" spans="2:32" x14ac:dyDescent="0.25">
      <c r="D107" s="1"/>
      <c r="E107" s="184" t="str">
        <f t="shared" si="71"/>
        <v/>
      </c>
      <c r="F107" s="184" t="str">
        <f t="shared" si="72"/>
        <v/>
      </c>
      <c r="G107" s="8" t="str">
        <f t="shared" si="73"/>
        <v/>
      </c>
      <c r="H107" s="51"/>
      <c r="I107" s="8" t="str">
        <f>IF($D107="","",IF(VLOOKUP($D107,TaskNEU!$B$3:$D$36,3,FALSE)="","",VLOOKUP($D107,TaskNEU!$B$3:$D$36,3,FALSE)))</f>
        <v/>
      </c>
      <c r="J107" s="8" t="str">
        <f>IF($D107="","",IF(VLOOKUP($D107,TaskNEU!$B$10:$E$36,2,FALSE)="","",VLOOKUP($D107,TaskNEU!$B$10:$E$36,2,FALSE)))</f>
        <v/>
      </c>
      <c r="K107" s="8"/>
      <c r="L107" s="8" t="str">
        <f>IF($D107="","",IF(VLOOKUP($D107,TaskNEU!$B$10:$E$36,4,FALSE)="","",VLOOKUP($D107,TaskNEU!$B$10:$E$36,4,FALSE)))</f>
        <v/>
      </c>
      <c r="M107" s="8"/>
      <c r="N107" s="8" t="str">
        <f t="shared" si="74"/>
        <v/>
      </c>
      <c r="O107" s="8"/>
      <c r="P107" s="91">
        <f t="shared" si="70"/>
        <v>0</v>
      </c>
      <c r="Q107" s="41">
        <v>0</v>
      </c>
      <c r="R107" s="41">
        <v>0</v>
      </c>
      <c r="S107" s="41">
        <v>0</v>
      </c>
      <c r="T107" s="41">
        <v>0</v>
      </c>
      <c r="U107" s="41">
        <v>0</v>
      </c>
      <c r="V107" s="41">
        <v>0</v>
      </c>
      <c r="W107" s="41">
        <v>0</v>
      </c>
      <c r="Z107" s="124"/>
      <c r="AA107" s="124"/>
      <c r="AB107" s="124"/>
      <c r="AC107" s="124"/>
      <c r="AD107" s="124"/>
      <c r="AE107" s="124"/>
      <c r="AF107" s="124"/>
    </row>
    <row r="108" spans="2:32" x14ac:dyDescent="0.25">
      <c r="D108" s="1"/>
      <c r="E108" s="184" t="str">
        <f t="shared" si="71"/>
        <v/>
      </c>
      <c r="F108" s="184" t="str">
        <f t="shared" si="72"/>
        <v/>
      </c>
      <c r="G108" s="8" t="str">
        <f t="shared" si="73"/>
        <v/>
      </c>
      <c r="H108" s="51"/>
      <c r="I108" s="8" t="str">
        <f>IF($D108="","",IF(VLOOKUP($D108,TaskNEU!$B$3:$D$36,3,FALSE)="","",VLOOKUP($D108,TaskNEU!$B$3:$D$36,3,FALSE)))</f>
        <v/>
      </c>
      <c r="J108" s="8" t="str">
        <f>IF($D108="","",IF(VLOOKUP($D108,TaskNEU!$B$10:$E$36,2,FALSE)="","",VLOOKUP($D108,TaskNEU!$B$10:$E$36,2,FALSE)))</f>
        <v/>
      </c>
      <c r="K108" s="8"/>
      <c r="L108" s="8" t="str">
        <f>IF($D108="","",IF(VLOOKUP($D108,TaskNEU!$B$10:$E$36,4,FALSE)="","",VLOOKUP($D108,TaskNEU!$B$10:$E$36,4,FALSE)))</f>
        <v/>
      </c>
      <c r="M108" s="8"/>
      <c r="N108" s="8" t="str">
        <f t="shared" si="74"/>
        <v/>
      </c>
      <c r="O108" s="8"/>
      <c r="P108" s="91">
        <f t="shared" si="70"/>
        <v>0</v>
      </c>
      <c r="Q108" s="41">
        <v>0</v>
      </c>
      <c r="R108" s="41">
        <v>0</v>
      </c>
      <c r="S108" s="41">
        <v>0</v>
      </c>
      <c r="T108" s="41">
        <v>0</v>
      </c>
      <c r="U108" s="41">
        <v>0</v>
      </c>
      <c r="V108" s="41">
        <v>0</v>
      </c>
      <c r="W108" s="41">
        <v>0</v>
      </c>
      <c r="Z108" s="124"/>
      <c r="AA108" s="124"/>
      <c r="AB108" s="124"/>
      <c r="AC108" s="124"/>
      <c r="AD108" s="124"/>
      <c r="AE108" s="124"/>
      <c r="AF108" s="124"/>
    </row>
    <row r="109" spans="2:32" x14ac:dyDescent="0.25">
      <c r="D109" s="1"/>
      <c r="E109" s="184" t="str">
        <f t="shared" si="71"/>
        <v/>
      </c>
      <c r="F109" s="184" t="str">
        <f t="shared" si="72"/>
        <v/>
      </c>
      <c r="G109" s="8" t="str">
        <f t="shared" si="73"/>
        <v/>
      </c>
      <c r="H109" s="51"/>
      <c r="I109" s="8" t="str">
        <f>IF($D109="","",IF(VLOOKUP($D109,TaskNEU!$B$3:$D$36,3,FALSE)="","",VLOOKUP($D109,TaskNEU!$B$3:$D$36,3,FALSE)))</f>
        <v/>
      </c>
      <c r="J109" s="8" t="str">
        <f>IF($D109="","",IF(VLOOKUP($D109,TaskNEU!$B$10:$E$36,2,FALSE)="","",VLOOKUP($D109,TaskNEU!$B$10:$E$36,2,FALSE)))</f>
        <v/>
      </c>
      <c r="K109" s="8"/>
      <c r="L109" s="8" t="str">
        <f>IF($D109="","",IF(VLOOKUP($D109,TaskNEU!$B$10:$E$36,4,FALSE)="","",VLOOKUP($D109,TaskNEU!$B$10:$E$36,4,FALSE)))</f>
        <v/>
      </c>
      <c r="M109" s="8"/>
      <c r="N109" s="8" t="str">
        <f t="shared" si="74"/>
        <v/>
      </c>
      <c r="O109" s="8"/>
      <c r="P109" s="91">
        <f t="shared" si="70"/>
        <v>0</v>
      </c>
      <c r="Q109" s="41">
        <v>0</v>
      </c>
      <c r="R109" s="41">
        <v>0</v>
      </c>
      <c r="S109" s="41">
        <v>0</v>
      </c>
      <c r="T109" s="41">
        <v>0</v>
      </c>
      <c r="U109" s="41">
        <v>0</v>
      </c>
      <c r="V109" s="41">
        <v>0</v>
      </c>
      <c r="W109" s="41">
        <v>0</v>
      </c>
      <c r="Z109" s="124"/>
      <c r="AA109" s="124"/>
      <c r="AB109" s="124"/>
      <c r="AC109" s="124"/>
      <c r="AD109" s="124"/>
      <c r="AE109" s="124"/>
      <c r="AF109" s="124"/>
    </row>
    <row r="110" spans="2:32" x14ac:dyDescent="0.25">
      <c r="D110" s="1"/>
      <c r="E110" s="184" t="str">
        <f t="shared" si="71"/>
        <v/>
      </c>
      <c r="F110" s="184" t="str">
        <f t="shared" si="72"/>
        <v/>
      </c>
      <c r="G110" s="8" t="str">
        <f t="shared" si="73"/>
        <v/>
      </c>
      <c r="H110" s="51"/>
      <c r="I110" s="8" t="str">
        <f>IF($D110="","",IF(VLOOKUP($D110,TaskNEU!$B$3:$D$36,3,FALSE)="","",VLOOKUP($D110,TaskNEU!$B$3:$D$36,3,FALSE)))</f>
        <v/>
      </c>
      <c r="J110" s="8" t="str">
        <f>IF($D110="","",IF(VLOOKUP($D110,TaskNEU!$B$10:$E$36,2,FALSE)="","",VLOOKUP($D110,TaskNEU!$B$10:$E$36,2,FALSE)))</f>
        <v/>
      </c>
      <c r="K110" s="8"/>
      <c r="L110" s="8" t="str">
        <f>IF($D110="","",IF(VLOOKUP($D110,TaskNEU!$B$10:$E$36,4,FALSE)="","",VLOOKUP($D110,TaskNEU!$B$10:$E$36,4,FALSE)))</f>
        <v/>
      </c>
      <c r="M110" s="8"/>
      <c r="N110" s="8" t="str">
        <f t="shared" si="74"/>
        <v/>
      </c>
      <c r="O110" s="8"/>
      <c r="P110" s="91">
        <f t="shared" si="70"/>
        <v>0</v>
      </c>
      <c r="Q110" s="41">
        <v>0</v>
      </c>
      <c r="R110" s="41">
        <v>0</v>
      </c>
      <c r="S110" s="41">
        <v>0</v>
      </c>
      <c r="T110" s="41">
        <v>0</v>
      </c>
      <c r="U110" s="41">
        <v>0</v>
      </c>
      <c r="V110" s="41">
        <v>0</v>
      </c>
      <c r="W110" s="41">
        <v>0</v>
      </c>
      <c r="Z110" s="124"/>
      <c r="AA110" s="124"/>
      <c r="AB110" s="124"/>
      <c r="AC110" s="124"/>
      <c r="AD110" s="124"/>
      <c r="AE110" s="124"/>
      <c r="AF110" s="124"/>
    </row>
    <row r="111" spans="2:32" x14ac:dyDescent="0.25">
      <c r="D111" s="1"/>
      <c r="E111" s="184" t="str">
        <f t="shared" si="71"/>
        <v/>
      </c>
      <c r="F111" s="184" t="str">
        <f t="shared" si="72"/>
        <v/>
      </c>
      <c r="G111" s="8" t="str">
        <f t="shared" si="73"/>
        <v/>
      </c>
      <c r="H111" s="51"/>
      <c r="I111" s="8" t="str">
        <f>IF($D111="","",IF(VLOOKUP($D111,TaskNEU!$B$3:$D$36,3,FALSE)="","",VLOOKUP($D111,TaskNEU!$B$3:$D$36,3,FALSE)))</f>
        <v/>
      </c>
      <c r="J111" s="8" t="str">
        <f>IF($D111="","",IF(VLOOKUP($D111,TaskNEU!$B$10:$E$36,2,FALSE)="","",VLOOKUP($D111,TaskNEU!$B$10:$E$36,2,FALSE)))</f>
        <v/>
      </c>
      <c r="K111" s="8"/>
      <c r="L111" s="8" t="str">
        <f>IF($D111="","",IF(VLOOKUP($D111,TaskNEU!$B$10:$E$36,4,FALSE)="","",VLOOKUP($D111,TaskNEU!$B$10:$E$36,4,FALSE)))</f>
        <v/>
      </c>
      <c r="M111" s="8"/>
      <c r="N111" s="8" t="str">
        <f t="shared" si="74"/>
        <v/>
      </c>
      <c r="O111" s="8"/>
      <c r="P111" s="91">
        <f t="shared" si="70"/>
        <v>0</v>
      </c>
      <c r="Q111" s="41">
        <v>0</v>
      </c>
      <c r="R111" s="41">
        <v>0</v>
      </c>
      <c r="S111" s="41">
        <v>0</v>
      </c>
      <c r="T111" s="41">
        <v>0</v>
      </c>
      <c r="U111" s="41">
        <v>0</v>
      </c>
      <c r="V111" s="41">
        <v>0</v>
      </c>
      <c r="W111" s="41">
        <v>0</v>
      </c>
      <c r="Z111" s="124"/>
      <c r="AA111" s="124"/>
      <c r="AB111" s="124"/>
      <c r="AC111" s="124"/>
      <c r="AD111" s="124"/>
      <c r="AE111" s="124"/>
      <c r="AF111" s="124"/>
    </row>
    <row r="112" spans="2:32" ht="15.75" thickBot="1" x14ac:dyDescent="0.3">
      <c r="B112" s="56"/>
      <c r="C112" s="56"/>
      <c r="D112" s="56"/>
      <c r="E112" s="186"/>
      <c r="F112" s="186"/>
      <c r="G112" s="56"/>
      <c r="H112" s="56"/>
      <c r="I112" s="56"/>
      <c r="J112" s="56"/>
      <c r="K112" s="56"/>
      <c r="L112" s="56"/>
      <c r="M112" s="56"/>
      <c r="N112" s="56"/>
      <c r="O112" s="56"/>
      <c r="P112" s="73">
        <f>SUM(Q99:W111)</f>
        <v>15.75</v>
      </c>
      <c r="Q112" s="72">
        <f>SUM(Q99:Q111)</f>
        <v>9.75</v>
      </c>
      <c r="R112" s="72">
        <f t="shared" ref="R112:W112" si="75">SUM(R99:R111)</f>
        <v>6</v>
      </c>
      <c r="S112" s="72">
        <f t="shared" si="75"/>
        <v>0</v>
      </c>
      <c r="T112" s="72">
        <f t="shared" si="75"/>
        <v>0</v>
      </c>
      <c r="U112" s="72">
        <f t="shared" si="75"/>
        <v>0</v>
      </c>
      <c r="V112" s="72">
        <f t="shared" si="75"/>
        <v>0</v>
      </c>
      <c r="W112" s="72">
        <f t="shared" si="75"/>
        <v>0</v>
      </c>
      <c r="X112" s="118"/>
      <c r="Y112" s="56"/>
      <c r="Z112" s="56"/>
      <c r="AA112" s="56"/>
      <c r="AB112" s="56"/>
      <c r="AC112" s="56"/>
      <c r="AD112" s="56"/>
      <c r="AE112" s="56"/>
      <c r="AF112" s="56"/>
    </row>
    <row r="113" spans="2:32" x14ac:dyDescent="0.25">
      <c r="B113" s="55"/>
      <c r="C113" s="55"/>
      <c r="D113" s="55"/>
      <c r="E113" s="178"/>
      <c r="F113" s="178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</row>
    <row r="114" spans="2:32" x14ac:dyDescent="0.25">
      <c r="B114" s="57"/>
      <c r="C114" s="58"/>
      <c r="D114" s="1" t="s">
        <v>40</v>
      </c>
      <c r="E114" s="179">
        <f>E87+1</f>
        <v>9</v>
      </c>
      <c r="F114" s="179" t="s">
        <v>0</v>
      </c>
      <c r="G114" s="2">
        <f>SUM(I117:I123)</f>
        <v>1.0625</v>
      </c>
      <c r="H114" s="221" t="s">
        <v>1</v>
      </c>
      <c r="I114" s="222"/>
      <c r="J114" s="2">
        <f>SUM(J117:J123)</f>
        <v>1.0625</v>
      </c>
      <c r="K114" s="67"/>
      <c r="L114" s="68"/>
      <c r="M114" s="35"/>
      <c r="N114" s="40" t="s">
        <v>57</v>
      </c>
      <c r="O114" s="8"/>
    </row>
    <row r="115" spans="2:32" x14ac:dyDescent="0.25">
      <c r="B115" s="59"/>
      <c r="C115" s="60"/>
      <c r="D115" s="1"/>
      <c r="E115" s="179"/>
      <c r="F115" s="180" t="s">
        <v>48</v>
      </c>
      <c r="G115" s="2">
        <f>SUM(Q117:Q123)/24</f>
        <v>0</v>
      </c>
      <c r="H115" s="52"/>
      <c r="I115" s="21" t="s">
        <v>58</v>
      </c>
      <c r="J115" s="2">
        <f>P139/24</f>
        <v>1.6458333333333333</v>
      </c>
      <c r="K115" s="67"/>
      <c r="L115" s="69"/>
      <c r="M115" s="7"/>
      <c r="O115" s="8" t="s">
        <v>191</v>
      </c>
      <c r="Q115" s="93">
        <f>SUM(Q117:Q123)</f>
        <v>0</v>
      </c>
      <c r="R115" s="93">
        <f>SUM(R117:R123)</f>
        <v>0.25</v>
      </c>
      <c r="S115" s="93">
        <f>SUM(S117:S123)</f>
        <v>14.75</v>
      </c>
      <c r="T115" s="110" t="s">
        <v>188</v>
      </c>
      <c r="U115" s="58"/>
      <c r="V115" s="112" t="s">
        <v>189</v>
      </c>
    </row>
    <row r="116" spans="2:32" x14ac:dyDescent="0.25">
      <c r="B116" s="61"/>
      <c r="C116" s="62"/>
      <c r="D116" s="1" t="s">
        <v>2</v>
      </c>
      <c r="E116" s="179" t="s">
        <v>3</v>
      </c>
      <c r="F116" s="179" t="s">
        <v>4</v>
      </c>
      <c r="G116" s="1" t="s">
        <v>5</v>
      </c>
      <c r="H116" s="52" t="s">
        <v>6</v>
      </c>
      <c r="I116" s="52" t="s">
        <v>7</v>
      </c>
      <c r="J116" s="52" t="s">
        <v>45</v>
      </c>
      <c r="K116" s="1" t="s">
        <v>44</v>
      </c>
      <c r="L116" s="219" t="s">
        <v>21</v>
      </c>
      <c r="M116" s="220"/>
      <c r="N116" s="219" t="s">
        <v>18</v>
      </c>
      <c r="O116" s="220"/>
      <c r="P116" s="42" t="s">
        <v>56</v>
      </c>
      <c r="Q116" s="93" t="s">
        <v>138</v>
      </c>
      <c r="R116" s="52" t="s">
        <v>139</v>
      </c>
      <c r="S116" s="52" t="s">
        <v>140</v>
      </c>
      <c r="T116" s="111" t="s">
        <v>187</v>
      </c>
      <c r="U116" s="62"/>
      <c r="V116" s="113" t="s">
        <v>118</v>
      </c>
    </row>
    <row r="117" spans="2:32" x14ac:dyDescent="0.25">
      <c r="B117" s="21" t="str">
        <f>IF(C117=1,"Mo",IF(C117=2,"Di",IF(C117=3,"Mi",IF(C117=4,"Do",IF(C117=5,"Fr",IF(C117=6,"Sa",IF(C117=7,"So","")))))))</f>
        <v>Mo</v>
      </c>
      <c r="C117" s="1">
        <f>WEEKDAY(D117,2)</f>
        <v>1</v>
      </c>
      <c r="D117" s="3">
        <f>D90+7</f>
        <v>46076</v>
      </c>
      <c r="E117" s="181">
        <v>0.34375</v>
      </c>
      <c r="F117" s="182">
        <v>0.71875</v>
      </c>
      <c r="G117" s="5">
        <f t="shared" ref="G117:G123" si="76">IF(AND(H117&gt;6/24,H117&lt;=9.5/24),0.5/24,IF(H117&gt;9.5/24,0.75/24,0))</f>
        <v>2.0833333333333332E-2</v>
      </c>
      <c r="H117" s="22">
        <f t="shared" ref="H117:H123" si="77">((IF(E117*24&gt;F117*24,F117*24+(24-E117*24),F117*24-E117*24))/24)-(V117/24)</f>
        <v>0.375</v>
      </c>
      <c r="I117" s="6">
        <f>H117-G117</f>
        <v>0.35416666666666669</v>
      </c>
      <c r="J117" s="6">
        <f>IF(C117&lt;6,I117,0/24)</f>
        <v>0.35416666666666669</v>
      </c>
      <c r="K117" s="23">
        <f>IF(C117&lt;5,((0.5+8.5+(E117*24))/24),IF(C117=5,((6+(E117*24))/24),))</f>
        <v>0.71875</v>
      </c>
      <c r="L117" s="219" t="s">
        <v>23</v>
      </c>
      <c r="M117" s="220"/>
      <c r="N117" s="219"/>
      <c r="O117" s="220"/>
      <c r="P117" s="39">
        <f>IF(I117="","",I117*24)</f>
        <v>8.5</v>
      </c>
      <c r="Q117" s="71"/>
      <c r="R117" s="94" t="b">
        <f t="shared" ref="R117:R123" si="78">IF(C117&lt;5,(IF(P117&gt;8.5,P117-8.5)),IF(C117=5,(IF(P117&gt;6,P117-6)),IF(C117&gt;5,P117)))</f>
        <v>0</v>
      </c>
      <c r="S117" s="94" t="b">
        <f>IF(C117&lt;5,(IF(P117&lt;8.5,8.5-P117)),IF(C117=5,(IF(P117&lt;6,6-P117))))</f>
        <v>0</v>
      </c>
      <c r="T117" s="24"/>
      <c r="U117" s="25"/>
      <c r="V117" s="109">
        <v>0</v>
      </c>
      <c r="W117" s="114">
        <f t="shared" ref="W117:W123" si="79">D117</f>
        <v>46076</v>
      </c>
      <c r="X117" s="21" t="str">
        <f>B117</f>
        <v>Mo</v>
      </c>
    </row>
    <row r="118" spans="2:32" x14ac:dyDescent="0.25">
      <c r="B118" s="21" t="str">
        <f t="shared" ref="B118:B123" si="80">IF(C118=1,"Mo",IF(C118=2,"Di",IF(C118=3,"Mi",IF(C118=4,"Do",IF(C118=5,"Fr",IF(C118=6,"Sa",IF(C118=7,"So","")))))))</f>
        <v>Di</v>
      </c>
      <c r="C118" s="1">
        <f t="shared" ref="C118:C123" si="81">WEEKDAY(D118,2)</f>
        <v>2</v>
      </c>
      <c r="D118" s="3">
        <f t="shared" ref="D118:D123" si="82">D117+1</f>
        <v>46077</v>
      </c>
      <c r="E118" s="181">
        <v>0.35416666666666669</v>
      </c>
      <c r="F118" s="182">
        <v>0.73958333333333337</v>
      </c>
      <c r="G118" s="5">
        <f t="shared" si="76"/>
        <v>2.0833333333333332E-2</v>
      </c>
      <c r="H118" s="22">
        <f t="shared" si="77"/>
        <v>0.38541666666666669</v>
      </c>
      <c r="I118" s="6">
        <f t="shared" ref="I118:I123" si="83">H118-G118</f>
        <v>0.36458333333333337</v>
      </c>
      <c r="J118" s="6">
        <f t="shared" ref="J118:J123" si="84">IF(C118&lt;6,I118,0/24)</f>
        <v>0.36458333333333337</v>
      </c>
      <c r="K118" s="23">
        <f t="shared" ref="K118:K123" si="85">IF(C118&lt;5,((0.5+8.5+(E118*24))/24),IF(C118=5,((6+(E118*24))/24),))</f>
        <v>0.72916666666666663</v>
      </c>
      <c r="L118" s="219" t="s">
        <v>23</v>
      </c>
      <c r="M118" s="220"/>
      <c r="N118" s="219"/>
      <c r="O118" s="220"/>
      <c r="P118" s="39">
        <f t="shared" ref="P118:P123" si="86">IF(I118="","",I118*24)</f>
        <v>8.75</v>
      </c>
      <c r="Q118" s="71"/>
      <c r="R118" s="94">
        <f t="shared" si="78"/>
        <v>0.25</v>
      </c>
      <c r="S118" s="94" t="b">
        <f t="shared" ref="S118:S123" si="87">IF(C118&lt;5,(IF(P118&lt;8.5,8.5-P118)),IF(C118=5,(IF(P118&lt;6,6-P118))))</f>
        <v>0</v>
      </c>
      <c r="T118" s="24"/>
      <c r="U118" s="25"/>
      <c r="V118" s="109">
        <v>0</v>
      </c>
      <c r="W118" s="114">
        <f t="shared" si="79"/>
        <v>46077</v>
      </c>
      <c r="X118" s="21" t="str">
        <f t="shared" ref="X118:X123" si="88">B118</f>
        <v>Di</v>
      </c>
    </row>
    <row r="119" spans="2:32" x14ac:dyDescent="0.25">
      <c r="B119" s="21" t="str">
        <f t="shared" si="80"/>
        <v>Mi</v>
      </c>
      <c r="C119" s="1">
        <f t="shared" si="81"/>
        <v>3</v>
      </c>
      <c r="D119" s="3">
        <f t="shared" si="82"/>
        <v>46078</v>
      </c>
      <c r="E119" s="181">
        <v>0.35416666666666669</v>
      </c>
      <c r="F119" s="182">
        <v>0.73958333333333337</v>
      </c>
      <c r="G119" s="5">
        <v>4.1666666666666664E-2</v>
      </c>
      <c r="H119" s="22">
        <f t="shared" si="77"/>
        <v>0.38541666666666669</v>
      </c>
      <c r="I119" s="6">
        <f t="shared" si="83"/>
        <v>0.34375</v>
      </c>
      <c r="J119" s="6">
        <f t="shared" si="84"/>
        <v>0.34375</v>
      </c>
      <c r="K119" s="23">
        <f t="shared" si="85"/>
        <v>0.72916666666666663</v>
      </c>
      <c r="L119" s="219" t="s">
        <v>23</v>
      </c>
      <c r="M119" s="220"/>
      <c r="N119" s="219"/>
      <c r="O119" s="220"/>
      <c r="P119" s="39">
        <f t="shared" si="86"/>
        <v>8.25</v>
      </c>
      <c r="Q119" s="71"/>
      <c r="R119" s="94" t="b">
        <f t="shared" si="78"/>
        <v>0</v>
      </c>
      <c r="S119" s="94">
        <f t="shared" si="87"/>
        <v>0.25</v>
      </c>
      <c r="T119" s="24"/>
      <c r="U119" s="25"/>
      <c r="V119" s="109">
        <v>0</v>
      </c>
      <c r="W119" s="114">
        <f t="shared" si="79"/>
        <v>46078</v>
      </c>
      <c r="X119" s="21" t="str">
        <f t="shared" si="88"/>
        <v>Mi</v>
      </c>
    </row>
    <row r="120" spans="2:32" x14ac:dyDescent="0.25">
      <c r="B120" s="21" t="str">
        <f t="shared" si="80"/>
        <v>Do</v>
      </c>
      <c r="C120" s="1">
        <f t="shared" si="81"/>
        <v>4</v>
      </c>
      <c r="D120" s="3">
        <f t="shared" si="82"/>
        <v>46079</v>
      </c>
      <c r="E120" s="181"/>
      <c r="F120" s="182"/>
      <c r="G120" s="5">
        <f t="shared" si="76"/>
        <v>0</v>
      </c>
      <c r="H120" s="22">
        <f t="shared" si="77"/>
        <v>0</v>
      </c>
      <c r="I120" s="6">
        <f t="shared" si="83"/>
        <v>0</v>
      </c>
      <c r="J120" s="6">
        <f t="shared" si="84"/>
        <v>0</v>
      </c>
      <c r="K120" s="23">
        <f t="shared" si="85"/>
        <v>0.375</v>
      </c>
      <c r="L120" s="219"/>
      <c r="M120" s="220"/>
      <c r="N120" s="219" t="s">
        <v>27</v>
      </c>
      <c r="O120" s="220"/>
      <c r="P120" s="39">
        <f t="shared" si="86"/>
        <v>0</v>
      </c>
      <c r="Q120" s="71"/>
      <c r="R120" s="94" t="b">
        <f t="shared" si="78"/>
        <v>0</v>
      </c>
      <c r="S120" s="94">
        <f t="shared" si="87"/>
        <v>8.5</v>
      </c>
      <c r="T120" s="24"/>
      <c r="U120" s="25"/>
      <c r="V120" s="109">
        <v>0</v>
      </c>
      <c r="W120" s="114">
        <f t="shared" si="79"/>
        <v>46079</v>
      </c>
      <c r="X120" s="21" t="str">
        <f t="shared" si="88"/>
        <v>Do</v>
      </c>
    </row>
    <row r="121" spans="2:32" x14ac:dyDescent="0.25">
      <c r="B121" s="21" t="str">
        <f t="shared" si="80"/>
        <v>Fr</v>
      </c>
      <c r="C121" s="1">
        <f t="shared" si="81"/>
        <v>5</v>
      </c>
      <c r="D121" s="3">
        <f t="shared" si="82"/>
        <v>46080</v>
      </c>
      <c r="E121" s="181"/>
      <c r="F121" s="182"/>
      <c r="G121" s="5">
        <f t="shared" si="76"/>
        <v>0</v>
      </c>
      <c r="H121" s="22">
        <f t="shared" si="77"/>
        <v>0</v>
      </c>
      <c r="I121" s="6">
        <f t="shared" si="83"/>
        <v>0</v>
      </c>
      <c r="J121" s="6">
        <f t="shared" si="84"/>
        <v>0</v>
      </c>
      <c r="K121" s="23">
        <f t="shared" si="85"/>
        <v>0.25</v>
      </c>
      <c r="L121" s="219"/>
      <c r="M121" s="220"/>
      <c r="N121" s="219" t="s">
        <v>27</v>
      </c>
      <c r="O121" s="220"/>
      <c r="P121" s="39">
        <f t="shared" si="86"/>
        <v>0</v>
      </c>
      <c r="Q121" s="71"/>
      <c r="R121" s="94" t="b">
        <f t="shared" si="78"/>
        <v>0</v>
      </c>
      <c r="S121" s="94">
        <f t="shared" si="87"/>
        <v>6</v>
      </c>
      <c r="T121" s="24"/>
      <c r="U121" s="25"/>
      <c r="V121" s="109">
        <v>0</v>
      </c>
      <c r="W121" s="114">
        <f t="shared" si="79"/>
        <v>46080</v>
      </c>
      <c r="X121" s="21" t="str">
        <f t="shared" si="88"/>
        <v>Fr</v>
      </c>
    </row>
    <row r="122" spans="2:32" x14ac:dyDescent="0.25">
      <c r="B122" s="21" t="str">
        <f t="shared" si="80"/>
        <v>Sa</v>
      </c>
      <c r="C122" s="1">
        <f t="shared" si="81"/>
        <v>6</v>
      </c>
      <c r="D122" s="3">
        <f t="shared" si="82"/>
        <v>46081</v>
      </c>
      <c r="E122" s="181"/>
      <c r="F122" s="182"/>
      <c r="G122" s="5">
        <f t="shared" si="76"/>
        <v>0</v>
      </c>
      <c r="H122" s="22">
        <f t="shared" si="77"/>
        <v>0</v>
      </c>
      <c r="I122" s="6">
        <f t="shared" si="83"/>
        <v>0</v>
      </c>
      <c r="J122" s="6">
        <f t="shared" si="84"/>
        <v>0</v>
      </c>
      <c r="K122" s="23">
        <f t="shared" si="85"/>
        <v>0</v>
      </c>
      <c r="L122" s="219"/>
      <c r="M122" s="220"/>
      <c r="N122" s="219"/>
      <c r="O122" s="220"/>
      <c r="P122" s="39">
        <f t="shared" si="86"/>
        <v>0</v>
      </c>
      <c r="Q122" s="71"/>
      <c r="R122" s="94">
        <f t="shared" si="78"/>
        <v>0</v>
      </c>
      <c r="S122" s="94" t="b">
        <f t="shared" si="87"/>
        <v>0</v>
      </c>
      <c r="T122" s="24"/>
      <c r="U122" s="25"/>
      <c r="V122" s="109">
        <v>0</v>
      </c>
      <c r="W122" s="114">
        <f t="shared" si="79"/>
        <v>46081</v>
      </c>
      <c r="X122" s="21" t="str">
        <f t="shared" si="88"/>
        <v>Sa</v>
      </c>
    </row>
    <row r="123" spans="2:32" x14ac:dyDescent="0.25">
      <c r="B123" s="21" t="str">
        <f t="shared" si="80"/>
        <v>So</v>
      </c>
      <c r="C123" s="1">
        <f t="shared" si="81"/>
        <v>7</v>
      </c>
      <c r="D123" s="3">
        <f t="shared" si="82"/>
        <v>46082</v>
      </c>
      <c r="E123" s="181"/>
      <c r="F123" s="182"/>
      <c r="G123" s="5">
        <f t="shared" si="76"/>
        <v>0</v>
      </c>
      <c r="H123" s="22">
        <f t="shared" si="77"/>
        <v>0</v>
      </c>
      <c r="I123" s="6">
        <f t="shared" si="83"/>
        <v>0</v>
      </c>
      <c r="J123" s="6">
        <f t="shared" si="84"/>
        <v>0</v>
      </c>
      <c r="K123" s="23">
        <f t="shared" si="85"/>
        <v>0</v>
      </c>
      <c r="L123" s="219"/>
      <c r="M123" s="220"/>
      <c r="N123" s="219"/>
      <c r="O123" s="220"/>
      <c r="P123" s="39">
        <f t="shared" si="86"/>
        <v>0</v>
      </c>
      <c r="Q123" s="71"/>
      <c r="R123" s="94">
        <f t="shared" si="78"/>
        <v>0</v>
      </c>
      <c r="S123" s="94" t="b">
        <f t="shared" si="87"/>
        <v>0</v>
      </c>
      <c r="T123" s="24"/>
      <c r="U123" s="25"/>
      <c r="V123" s="109">
        <v>0</v>
      </c>
      <c r="W123" s="114">
        <f t="shared" si="79"/>
        <v>46082</v>
      </c>
      <c r="X123" s="21" t="str">
        <f t="shared" si="88"/>
        <v>So</v>
      </c>
    </row>
    <row r="124" spans="2:32" x14ac:dyDescent="0.25">
      <c r="F124" s="183"/>
      <c r="G124" s="18"/>
      <c r="H124" s="18"/>
      <c r="I124" s="19"/>
      <c r="J124" s="19"/>
      <c r="K124" s="18"/>
      <c r="L124" s="18"/>
      <c r="M124" s="18"/>
      <c r="N124" s="20"/>
      <c r="O124" s="20"/>
      <c r="P124" s="18"/>
      <c r="Q124" s="145">
        <f>D117</f>
        <v>46076</v>
      </c>
      <c r="R124" s="145">
        <f>D118</f>
        <v>46077</v>
      </c>
      <c r="S124" s="145">
        <f>D119</f>
        <v>46078</v>
      </c>
      <c r="T124" s="145">
        <f>D120</f>
        <v>46079</v>
      </c>
      <c r="U124" s="145">
        <f>D121</f>
        <v>46080</v>
      </c>
      <c r="V124" s="145">
        <f>D122</f>
        <v>46081</v>
      </c>
      <c r="W124" s="145">
        <f>D123</f>
        <v>46082</v>
      </c>
      <c r="Z124" s="84" t="s">
        <v>208</v>
      </c>
      <c r="AA124" s="85"/>
      <c r="AB124" s="85"/>
      <c r="AC124" s="85"/>
      <c r="AD124" s="85"/>
      <c r="AE124" s="85"/>
      <c r="AF124" s="86"/>
    </row>
    <row r="125" spans="2:32" x14ac:dyDescent="0.25">
      <c r="D125" s="51" t="s">
        <v>30</v>
      </c>
      <c r="E125" s="184" t="s">
        <v>8</v>
      </c>
      <c r="F125" s="184" t="s">
        <v>97</v>
      </c>
      <c r="G125" s="8" t="s">
        <v>98</v>
      </c>
      <c r="H125" s="51" t="s">
        <v>9</v>
      </c>
      <c r="I125" s="8" t="s">
        <v>10</v>
      </c>
      <c r="J125" s="8" t="s">
        <v>11</v>
      </c>
      <c r="K125" s="8" t="s">
        <v>99</v>
      </c>
      <c r="L125" s="8" t="s">
        <v>100</v>
      </c>
      <c r="M125" s="8" t="s">
        <v>101</v>
      </c>
      <c r="N125" s="8" t="s">
        <v>102</v>
      </c>
      <c r="O125" s="8"/>
      <c r="P125" s="8" t="s">
        <v>90</v>
      </c>
      <c r="Q125" s="8" t="s">
        <v>60</v>
      </c>
      <c r="R125" s="8" t="s">
        <v>61</v>
      </c>
      <c r="S125" s="8" t="s">
        <v>62</v>
      </c>
      <c r="T125" s="8" t="s">
        <v>63</v>
      </c>
      <c r="U125" s="8" t="s">
        <v>64</v>
      </c>
      <c r="V125" s="8" t="s">
        <v>65</v>
      </c>
      <c r="W125" s="8" t="s">
        <v>66</v>
      </c>
      <c r="Z125" s="8" t="s">
        <v>60</v>
      </c>
      <c r="AA125" s="8" t="s">
        <v>61</v>
      </c>
      <c r="AB125" s="8" t="s">
        <v>62</v>
      </c>
      <c r="AC125" s="8" t="s">
        <v>63</v>
      </c>
      <c r="AD125" s="8" t="s">
        <v>64</v>
      </c>
      <c r="AE125" s="8" t="s">
        <v>65</v>
      </c>
      <c r="AF125" s="8" t="s">
        <v>66</v>
      </c>
    </row>
    <row r="126" spans="2:32" x14ac:dyDescent="0.25">
      <c r="D126" s="1" t="s">
        <v>95</v>
      </c>
      <c r="E126" s="179"/>
      <c r="F126" s="179"/>
      <c r="G126" s="1"/>
      <c r="H126" s="42"/>
      <c r="I126" s="42" t="str">
        <f>IF($D126="","",IF(VLOOKUP($D126,TaskNEU!$B$3:$D$36,3,FALSE)="","",VLOOKUP($D126,TaskNEU!$B$3:$D$36,3,FALSE)))</f>
        <v/>
      </c>
      <c r="J126" s="1"/>
      <c r="K126" s="1"/>
      <c r="L126" s="1"/>
      <c r="M126" s="1"/>
      <c r="N126" s="1"/>
      <c r="O126" s="1"/>
      <c r="P126" s="91">
        <f>SUM(Q126:W126)</f>
        <v>0</v>
      </c>
      <c r="Q126" s="91"/>
      <c r="R126" s="91"/>
      <c r="S126" s="91"/>
      <c r="T126" s="91"/>
      <c r="U126" s="91"/>
      <c r="V126" s="91"/>
      <c r="W126" s="91"/>
      <c r="Z126" s="123"/>
      <c r="AA126" s="123"/>
      <c r="AB126" s="123"/>
      <c r="AC126" s="123"/>
      <c r="AD126" s="123"/>
      <c r="AE126" s="123"/>
      <c r="AF126" s="123"/>
    </row>
    <row r="127" spans="2:32" x14ac:dyDescent="0.25">
      <c r="D127" s="1"/>
      <c r="E127" s="179"/>
      <c r="F127" s="179"/>
      <c r="G127" s="1"/>
      <c r="H127" s="42"/>
      <c r="I127" s="42"/>
      <c r="J127" s="92"/>
      <c r="K127" s="1"/>
      <c r="L127" s="1"/>
      <c r="M127" s="1"/>
      <c r="N127" s="1"/>
      <c r="O127" s="1"/>
      <c r="P127" s="91">
        <f>SUM(Q127:W127)</f>
        <v>2</v>
      </c>
      <c r="Q127" s="91">
        <v>1</v>
      </c>
      <c r="R127" s="91">
        <v>1</v>
      </c>
      <c r="S127" s="91"/>
      <c r="T127" s="91"/>
      <c r="U127" s="91"/>
      <c r="V127" s="91"/>
      <c r="W127" s="91"/>
      <c r="Z127" s="123"/>
      <c r="AA127" s="123"/>
      <c r="AB127" s="123"/>
      <c r="AC127" s="123"/>
      <c r="AD127" s="123"/>
      <c r="AE127" s="123"/>
      <c r="AF127" s="123"/>
    </row>
    <row r="128" spans="2:32" x14ac:dyDescent="0.25">
      <c r="D128" s="1"/>
      <c r="E128" s="184"/>
      <c r="F128" s="184"/>
      <c r="G128" s="8"/>
      <c r="H128" s="51"/>
      <c r="I128" s="8"/>
      <c r="J128" s="8"/>
      <c r="K128" s="8"/>
      <c r="L128" s="8"/>
      <c r="M128" s="8"/>
      <c r="N128" s="8"/>
      <c r="O128" s="8"/>
      <c r="P128" s="91">
        <f>SUM(Q128:W128)</f>
        <v>0</v>
      </c>
      <c r="Q128" s="41">
        <v>0</v>
      </c>
      <c r="R128" s="41">
        <v>0</v>
      </c>
      <c r="S128" s="41">
        <v>0</v>
      </c>
      <c r="T128" s="41">
        <v>0</v>
      </c>
      <c r="U128" s="41">
        <v>0</v>
      </c>
      <c r="V128" s="41">
        <v>0</v>
      </c>
      <c r="W128" s="41">
        <v>0</v>
      </c>
      <c r="Z128" s="124"/>
      <c r="AA128" s="124"/>
      <c r="AB128" s="124"/>
      <c r="AC128" s="124"/>
      <c r="AD128" s="124"/>
      <c r="AE128" s="124"/>
      <c r="AF128" s="124"/>
    </row>
    <row r="129" spans="2:32" x14ac:dyDescent="0.25">
      <c r="D129" s="1"/>
      <c r="E129" s="184"/>
      <c r="F129" s="184"/>
      <c r="G129" s="8"/>
      <c r="H129" s="51"/>
      <c r="I129" s="8"/>
      <c r="J129" s="8"/>
      <c r="K129" s="8"/>
      <c r="L129" s="8"/>
      <c r="M129" s="8"/>
      <c r="N129" s="8"/>
      <c r="O129" s="8"/>
      <c r="P129" s="91">
        <f t="shared" ref="P129:P138" si="89">SUM(Q129:W129)</f>
        <v>37.5</v>
      </c>
      <c r="Q129" s="41">
        <v>7.5</v>
      </c>
      <c r="R129" s="41">
        <v>7.5</v>
      </c>
      <c r="S129" s="41">
        <v>8.5</v>
      </c>
      <c r="T129" s="41">
        <v>8.5</v>
      </c>
      <c r="U129" s="41">
        <v>5.5</v>
      </c>
      <c r="V129" s="41">
        <v>0</v>
      </c>
      <c r="W129" s="41">
        <v>0</v>
      </c>
      <c r="Z129" s="124"/>
      <c r="AA129" s="124"/>
      <c r="AB129" s="124"/>
      <c r="AC129" s="124"/>
      <c r="AD129" s="124"/>
      <c r="AE129" s="124"/>
      <c r="AF129" s="124"/>
    </row>
    <row r="130" spans="2:32" x14ac:dyDescent="0.25">
      <c r="D130" s="1"/>
      <c r="E130" s="184" t="str">
        <f t="shared" ref="E130:E138" si="90">IF(D130="","","1010V07213")</f>
        <v/>
      </c>
      <c r="F130" s="184" t="str">
        <f t="shared" ref="F130:F138" si="91">IF(D130="","","1000")</f>
        <v/>
      </c>
      <c r="G130" s="8" t="str">
        <f t="shared" ref="G130:G138" si="92">IF(D130="","","310")</f>
        <v/>
      </c>
      <c r="H130" s="51"/>
      <c r="I130" s="8" t="str">
        <f>IF($D130="","",IF(VLOOKUP($D130,TaskNEU!$B$3:$D$36,3,FALSE)="","",VLOOKUP($D130,TaskNEU!$B$3:$D$36,3,FALSE)))</f>
        <v/>
      </c>
      <c r="J130" s="8" t="str">
        <f>IF($D130="","",IF(VLOOKUP($D130,TaskNEU!$B$10:$E$36,2,FALSE)="","",VLOOKUP($D130,TaskNEU!$B$10:$E$36,2,FALSE)))</f>
        <v/>
      </c>
      <c r="K130" s="8"/>
      <c r="L130" s="8" t="str">
        <f>IF($D130="","",IF(VLOOKUP($D130,TaskNEU!$B$10:$E$36,4,FALSE)="","",VLOOKUP($D130,TaskNEU!$B$10:$E$36,4,FALSE)))</f>
        <v/>
      </c>
      <c r="M130" s="8"/>
      <c r="N130" s="8" t="str">
        <f t="shared" ref="N130:N138" si="93">IF(D130="","","A238")</f>
        <v/>
      </c>
      <c r="O130" s="8"/>
      <c r="P130" s="91">
        <f t="shared" si="89"/>
        <v>0</v>
      </c>
      <c r="Q130" s="41">
        <v>0</v>
      </c>
      <c r="R130" s="41">
        <v>0</v>
      </c>
      <c r="S130" s="41">
        <v>0</v>
      </c>
      <c r="T130" s="41">
        <v>0</v>
      </c>
      <c r="U130" s="41">
        <v>0</v>
      </c>
      <c r="V130" s="41">
        <v>0</v>
      </c>
      <c r="W130" s="41">
        <v>0</v>
      </c>
      <c r="Z130" s="124"/>
      <c r="AA130" s="124"/>
      <c r="AB130" s="124"/>
      <c r="AC130" s="124"/>
      <c r="AD130" s="124"/>
      <c r="AE130" s="124"/>
      <c r="AF130" s="124"/>
    </row>
    <row r="131" spans="2:32" x14ac:dyDescent="0.25">
      <c r="D131" s="1"/>
      <c r="E131" s="184" t="str">
        <f t="shared" si="90"/>
        <v/>
      </c>
      <c r="F131" s="184" t="str">
        <f t="shared" si="91"/>
        <v/>
      </c>
      <c r="G131" s="8" t="str">
        <f t="shared" si="92"/>
        <v/>
      </c>
      <c r="H131" s="51"/>
      <c r="I131" s="8" t="str">
        <f>IF($D131="","",IF(VLOOKUP($D131,TaskNEU!$B$3:$D$36,3,FALSE)="","",VLOOKUP($D131,TaskNEU!$B$3:$D$36,3,FALSE)))</f>
        <v/>
      </c>
      <c r="J131" s="8" t="str">
        <f>IF($D131="","",IF(VLOOKUP($D131,TaskNEU!$B$10:$E$36,2,FALSE)="","",VLOOKUP($D131,TaskNEU!$B$10:$E$36,2,FALSE)))</f>
        <v/>
      </c>
      <c r="K131" s="8"/>
      <c r="L131" s="8" t="str">
        <f>IF($D131="","",IF(VLOOKUP($D131,TaskNEU!$B$10:$E$36,4,FALSE)="","",VLOOKUP($D131,TaskNEU!$B$10:$E$36,4,FALSE)))</f>
        <v/>
      </c>
      <c r="M131" s="8"/>
      <c r="N131" s="8" t="str">
        <f t="shared" si="93"/>
        <v/>
      </c>
      <c r="O131" s="8"/>
      <c r="P131" s="91">
        <f t="shared" si="89"/>
        <v>0</v>
      </c>
      <c r="Q131" s="41">
        <v>0</v>
      </c>
      <c r="R131" s="41">
        <v>0</v>
      </c>
      <c r="S131" s="41">
        <v>0</v>
      </c>
      <c r="T131" s="41">
        <v>0</v>
      </c>
      <c r="U131" s="41">
        <v>0</v>
      </c>
      <c r="V131" s="41">
        <v>0</v>
      </c>
      <c r="W131" s="41">
        <v>0</v>
      </c>
      <c r="Z131" s="124"/>
      <c r="AA131" s="124"/>
      <c r="AB131" s="124"/>
      <c r="AC131" s="124"/>
      <c r="AD131" s="124"/>
      <c r="AE131" s="124"/>
      <c r="AF131" s="124"/>
    </row>
    <row r="132" spans="2:32" x14ac:dyDescent="0.25">
      <c r="D132" s="1"/>
      <c r="E132" s="184" t="str">
        <f t="shared" si="90"/>
        <v/>
      </c>
      <c r="F132" s="184" t="str">
        <f t="shared" si="91"/>
        <v/>
      </c>
      <c r="G132" s="8" t="str">
        <f t="shared" si="92"/>
        <v/>
      </c>
      <c r="H132" s="51"/>
      <c r="I132" s="8" t="str">
        <f>IF($D132="","",IF(VLOOKUP($D132,TaskNEU!$B$3:$D$36,3,FALSE)="","",VLOOKUP($D132,TaskNEU!$B$3:$D$36,3,FALSE)))</f>
        <v/>
      </c>
      <c r="J132" s="8" t="str">
        <f>IF($D132="","",IF(VLOOKUP($D132,TaskNEU!$B$10:$E$36,2,FALSE)="","",VLOOKUP($D132,TaskNEU!$B$10:$E$36,2,FALSE)))</f>
        <v/>
      </c>
      <c r="K132" s="8"/>
      <c r="L132" s="8" t="str">
        <f>IF($D132="","",IF(VLOOKUP($D132,TaskNEU!$B$10:$E$36,4,FALSE)="","",VLOOKUP($D132,TaskNEU!$B$10:$E$36,4,FALSE)))</f>
        <v/>
      </c>
      <c r="M132" s="8"/>
      <c r="N132" s="8" t="str">
        <f t="shared" si="93"/>
        <v/>
      </c>
      <c r="O132" s="8"/>
      <c r="P132" s="91">
        <f t="shared" si="89"/>
        <v>0</v>
      </c>
      <c r="Q132" s="41">
        <v>0</v>
      </c>
      <c r="R132" s="41">
        <v>0</v>
      </c>
      <c r="S132" s="41">
        <v>0</v>
      </c>
      <c r="T132" s="41">
        <v>0</v>
      </c>
      <c r="U132" s="41">
        <v>0</v>
      </c>
      <c r="V132" s="41">
        <v>0</v>
      </c>
      <c r="W132" s="41">
        <v>0</v>
      </c>
      <c r="Z132" s="124"/>
      <c r="AA132" s="124"/>
      <c r="AB132" s="124"/>
      <c r="AC132" s="124"/>
      <c r="AD132" s="124"/>
      <c r="AE132" s="124"/>
      <c r="AF132" s="124"/>
    </row>
    <row r="133" spans="2:32" x14ac:dyDescent="0.25">
      <c r="D133" s="1"/>
      <c r="E133" s="184" t="str">
        <f t="shared" si="90"/>
        <v/>
      </c>
      <c r="F133" s="184" t="str">
        <f t="shared" si="91"/>
        <v/>
      </c>
      <c r="G133" s="8" t="str">
        <f t="shared" si="92"/>
        <v/>
      </c>
      <c r="H133" s="51"/>
      <c r="I133" s="8" t="str">
        <f>IF($D133="","",IF(VLOOKUP($D133,TaskNEU!$B$3:$D$36,3,FALSE)="","",VLOOKUP($D133,TaskNEU!$B$3:$D$36,3,FALSE)))</f>
        <v/>
      </c>
      <c r="J133" s="8" t="str">
        <f>IF($D133="","",IF(VLOOKUP($D133,TaskNEU!$B$10:$E$36,2,FALSE)="","",VLOOKUP($D133,TaskNEU!$B$10:$E$36,2,FALSE)))</f>
        <v/>
      </c>
      <c r="K133" s="8"/>
      <c r="L133" s="8" t="str">
        <f>IF($D133="","",IF(VLOOKUP($D133,TaskNEU!$B$10:$E$36,4,FALSE)="","",VLOOKUP($D133,TaskNEU!$B$10:$E$36,4,FALSE)))</f>
        <v/>
      </c>
      <c r="M133" s="8"/>
      <c r="N133" s="8" t="str">
        <f t="shared" si="93"/>
        <v/>
      </c>
      <c r="O133" s="8"/>
      <c r="P133" s="91">
        <f t="shared" si="89"/>
        <v>0</v>
      </c>
      <c r="Q133" s="41">
        <v>0</v>
      </c>
      <c r="R133" s="41">
        <v>0</v>
      </c>
      <c r="S133" s="41">
        <v>0</v>
      </c>
      <c r="T133" s="41">
        <v>0</v>
      </c>
      <c r="U133" s="41">
        <v>0</v>
      </c>
      <c r="V133" s="41">
        <v>0</v>
      </c>
      <c r="W133" s="41">
        <v>0</v>
      </c>
      <c r="Z133" s="124"/>
      <c r="AA133" s="124"/>
      <c r="AB133" s="124"/>
      <c r="AC133" s="124"/>
      <c r="AD133" s="124"/>
      <c r="AE133" s="124"/>
      <c r="AF133" s="124"/>
    </row>
    <row r="134" spans="2:32" x14ac:dyDescent="0.25">
      <c r="D134" s="1"/>
      <c r="E134" s="184" t="str">
        <f t="shared" si="90"/>
        <v/>
      </c>
      <c r="F134" s="184" t="str">
        <f t="shared" si="91"/>
        <v/>
      </c>
      <c r="G134" s="8" t="str">
        <f t="shared" si="92"/>
        <v/>
      </c>
      <c r="H134" s="51"/>
      <c r="I134" s="8" t="str">
        <f>IF($D134="","",IF(VLOOKUP($D134,TaskNEU!$B$3:$D$36,3,FALSE)="","",VLOOKUP($D134,TaskNEU!$B$3:$D$36,3,FALSE)))</f>
        <v/>
      </c>
      <c r="J134" s="8" t="str">
        <f>IF($D134="","",IF(VLOOKUP($D134,TaskNEU!$B$10:$E$36,2,FALSE)="","",VLOOKUP($D134,TaskNEU!$B$10:$E$36,2,FALSE)))</f>
        <v/>
      </c>
      <c r="K134" s="8"/>
      <c r="L134" s="8" t="str">
        <f>IF($D134="","",IF(VLOOKUP($D134,TaskNEU!$B$10:$E$36,4,FALSE)="","",VLOOKUP($D134,TaskNEU!$B$10:$E$36,4,FALSE)))</f>
        <v/>
      </c>
      <c r="M134" s="8"/>
      <c r="N134" s="8" t="str">
        <f t="shared" si="93"/>
        <v/>
      </c>
      <c r="O134" s="8"/>
      <c r="P134" s="91">
        <f t="shared" si="89"/>
        <v>0</v>
      </c>
      <c r="Q134" s="41">
        <v>0</v>
      </c>
      <c r="R134" s="41">
        <v>0</v>
      </c>
      <c r="S134" s="41">
        <v>0</v>
      </c>
      <c r="T134" s="41">
        <v>0</v>
      </c>
      <c r="U134" s="41">
        <v>0</v>
      </c>
      <c r="V134" s="41">
        <v>0</v>
      </c>
      <c r="W134" s="41">
        <v>0</v>
      </c>
      <c r="Z134" s="124"/>
      <c r="AA134" s="124"/>
      <c r="AB134" s="124"/>
      <c r="AC134" s="124"/>
      <c r="AD134" s="124"/>
      <c r="AE134" s="124"/>
      <c r="AF134" s="124"/>
    </row>
    <row r="135" spans="2:32" x14ac:dyDescent="0.25">
      <c r="D135" s="1"/>
      <c r="E135" s="184" t="str">
        <f t="shared" si="90"/>
        <v/>
      </c>
      <c r="F135" s="184" t="str">
        <f t="shared" si="91"/>
        <v/>
      </c>
      <c r="G135" s="8" t="str">
        <f t="shared" si="92"/>
        <v/>
      </c>
      <c r="H135" s="51"/>
      <c r="I135" s="8" t="str">
        <f>IF($D135="","",IF(VLOOKUP($D135,TaskNEU!$B$3:$D$36,3,FALSE)="","",VLOOKUP($D135,TaskNEU!$B$3:$D$36,3,FALSE)))</f>
        <v/>
      </c>
      <c r="J135" s="8" t="str">
        <f>IF($D135="","",IF(VLOOKUP($D135,TaskNEU!$B$10:$E$36,2,FALSE)="","",VLOOKUP($D135,TaskNEU!$B$10:$E$36,2,FALSE)))</f>
        <v/>
      </c>
      <c r="K135" s="8"/>
      <c r="L135" s="8" t="str">
        <f>IF($D135="","",IF(VLOOKUP($D135,TaskNEU!$B$10:$E$36,4,FALSE)="","",VLOOKUP($D135,TaskNEU!$B$10:$E$36,4,FALSE)))</f>
        <v/>
      </c>
      <c r="M135" s="8"/>
      <c r="N135" s="8" t="str">
        <f t="shared" si="93"/>
        <v/>
      </c>
      <c r="O135" s="8"/>
      <c r="P135" s="91">
        <f t="shared" si="89"/>
        <v>0</v>
      </c>
      <c r="Q135" s="41">
        <v>0</v>
      </c>
      <c r="R135" s="41">
        <v>0</v>
      </c>
      <c r="S135" s="41">
        <v>0</v>
      </c>
      <c r="T135" s="41">
        <v>0</v>
      </c>
      <c r="U135" s="41">
        <v>0</v>
      </c>
      <c r="V135" s="41">
        <v>0</v>
      </c>
      <c r="W135" s="41">
        <v>0</v>
      </c>
      <c r="Z135" s="124"/>
      <c r="AA135" s="124"/>
      <c r="AB135" s="124"/>
      <c r="AC135" s="124"/>
      <c r="AD135" s="124"/>
      <c r="AE135" s="124"/>
      <c r="AF135" s="124"/>
    </row>
    <row r="136" spans="2:32" x14ac:dyDescent="0.25">
      <c r="D136" s="1"/>
      <c r="E136" s="184" t="str">
        <f t="shared" si="90"/>
        <v/>
      </c>
      <c r="F136" s="184" t="str">
        <f t="shared" si="91"/>
        <v/>
      </c>
      <c r="G136" s="8" t="str">
        <f t="shared" si="92"/>
        <v/>
      </c>
      <c r="H136" s="51"/>
      <c r="I136" s="8" t="str">
        <f>IF($D136="","",IF(VLOOKUP($D136,TaskNEU!$B$3:$D$36,3,FALSE)="","",VLOOKUP($D136,TaskNEU!$B$3:$D$36,3,FALSE)))</f>
        <v/>
      </c>
      <c r="J136" s="8" t="str">
        <f>IF($D136="","",IF(VLOOKUP($D136,TaskNEU!$B$10:$E$36,2,FALSE)="","",VLOOKUP($D136,TaskNEU!$B$10:$E$36,2,FALSE)))</f>
        <v/>
      </c>
      <c r="K136" s="8"/>
      <c r="L136" s="8" t="str">
        <f>IF($D136="","",IF(VLOOKUP($D136,TaskNEU!$B$10:$E$36,4,FALSE)="","",VLOOKUP($D136,TaskNEU!$B$10:$E$36,4,FALSE)))</f>
        <v/>
      </c>
      <c r="M136" s="8"/>
      <c r="N136" s="8" t="str">
        <f t="shared" si="93"/>
        <v/>
      </c>
      <c r="O136" s="8"/>
      <c r="P136" s="91">
        <f t="shared" si="89"/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0</v>
      </c>
      <c r="Z136" s="124"/>
      <c r="AA136" s="124"/>
      <c r="AB136" s="124"/>
      <c r="AC136" s="124"/>
      <c r="AD136" s="124"/>
      <c r="AE136" s="124"/>
      <c r="AF136" s="124"/>
    </row>
    <row r="137" spans="2:32" x14ac:dyDescent="0.25">
      <c r="D137" s="1"/>
      <c r="E137" s="184" t="str">
        <f t="shared" si="90"/>
        <v/>
      </c>
      <c r="F137" s="184" t="str">
        <f t="shared" si="91"/>
        <v/>
      </c>
      <c r="G137" s="8" t="str">
        <f t="shared" si="92"/>
        <v/>
      </c>
      <c r="H137" s="51"/>
      <c r="I137" s="8" t="str">
        <f>IF($D137="","",IF(VLOOKUP($D137,TaskNEU!$B$3:$D$36,3,FALSE)="","",VLOOKUP($D137,TaskNEU!$B$3:$D$36,3,FALSE)))</f>
        <v/>
      </c>
      <c r="J137" s="8" t="str">
        <f>IF($D137="","",IF(VLOOKUP($D137,TaskNEU!$B$10:$E$36,2,FALSE)="","",VLOOKUP($D137,TaskNEU!$B$10:$E$36,2,FALSE)))</f>
        <v/>
      </c>
      <c r="K137" s="8"/>
      <c r="L137" s="8" t="str">
        <f>IF($D137="","",IF(VLOOKUP($D137,TaskNEU!$B$10:$E$36,4,FALSE)="","",VLOOKUP($D137,TaskNEU!$B$10:$E$36,4,FALSE)))</f>
        <v/>
      </c>
      <c r="M137" s="8"/>
      <c r="N137" s="8" t="str">
        <f t="shared" si="93"/>
        <v/>
      </c>
      <c r="O137" s="8"/>
      <c r="P137" s="91">
        <f t="shared" si="89"/>
        <v>0</v>
      </c>
      <c r="Q137" s="41">
        <v>0</v>
      </c>
      <c r="R137" s="41">
        <v>0</v>
      </c>
      <c r="S137" s="41">
        <v>0</v>
      </c>
      <c r="T137" s="41">
        <v>0</v>
      </c>
      <c r="U137" s="41">
        <v>0</v>
      </c>
      <c r="V137" s="41">
        <v>0</v>
      </c>
      <c r="W137" s="41">
        <v>0</v>
      </c>
      <c r="Z137" s="124"/>
      <c r="AA137" s="124"/>
      <c r="AB137" s="124"/>
      <c r="AC137" s="124"/>
      <c r="AD137" s="124"/>
      <c r="AE137" s="124"/>
      <c r="AF137" s="124"/>
    </row>
    <row r="138" spans="2:32" x14ac:dyDescent="0.25">
      <c r="D138" s="1"/>
      <c r="E138" s="184" t="str">
        <f t="shared" si="90"/>
        <v/>
      </c>
      <c r="F138" s="184" t="str">
        <f t="shared" si="91"/>
        <v/>
      </c>
      <c r="G138" s="8" t="str">
        <f t="shared" si="92"/>
        <v/>
      </c>
      <c r="H138" s="51"/>
      <c r="I138" s="8" t="str">
        <f>IF($D138="","",IF(VLOOKUP($D138,TaskNEU!$B$3:$D$36,3,FALSE)="","",VLOOKUP($D138,TaskNEU!$B$3:$D$36,3,FALSE)))</f>
        <v/>
      </c>
      <c r="J138" s="8" t="str">
        <f>IF($D138="","",IF(VLOOKUP($D138,TaskNEU!$B$10:$E$36,2,FALSE)="","",VLOOKUP($D138,TaskNEU!$B$10:$E$36,2,FALSE)))</f>
        <v/>
      </c>
      <c r="K138" s="8"/>
      <c r="L138" s="8" t="str">
        <f>IF($D138="","",IF(VLOOKUP($D138,TaskNEU!$B$10:$E$36,4,FALSE)="","",VLOOKUP($D138,TaskNEU!$B$10:$E$36,4,FALSE)))</f>
        <v/>
      </c>
      <c r="M138" s="8"/>
      <c r="N138" s="8" t="str">
        <f t="shared" si="93"/>
        <v/>
      </c>
      <c r="O138" s="8"/>
      <c r="P138" s="91">
        <f t="shared" si="89"/>
        <v>0</v>
      </c>
      <c r="Q138" s="41">
        <v>0</v>
      </c>
      <c r="R138" s="41">
        <v>0</v>
      </c>
      <c r="S138" s="41">
        <v>0</v>
      </c>
      <c r="T138" s="41">
        <v>0</v>
      </c>
      <c r="U138" s="41">
        <v>0</v>
      </c>
      <c r="V138" s="41">
        <v>0</v>
      </c>
      <c r="W138" s="41">
        <v>0</v>
      </c>
      <c r="Z138" s="124"/>
      <c r="AA138" s="124"/>
      <c r="AB138" s="124"/>
      <c r="AC138" s="124"/>
      <c r="AD138" s="124"/>
      <c r="AE138" s="124"/>
      <c r="AF138" s="124"/>
    </row>
    <row r="139" spans="2:32" ht="15.75" thickBot="1" x14ac:dyDescent="0.3">
      <c r="B139" s="56"/>
      <c r="C139" s="56"/>
      <c r="D139" s="56"/>
      <c r="E139" s="186"/>
      <c r="F139" s="186"/>
      <c r="G139" s="56"/>
      <c r="H139" s="56"/>
      <c r="I139" s="56"/>
      <c r="J139" s="56"/>
      <c r="K139" s="56"/>
      <c r="L139" s="56"/>
      <c r="M139" s="56"/>
      <c r="N139" s="56"/>
      <c r="O139" s="56"/>
      <c r="P139" s="73">
        <f>SUM(Q126:W138)</f>
        <v>39.5</v>
      </c>
      <c r="Q139" s="72">
        <f>SUM(Q126:Q138)</f>
        <v>8.5</v>
      </c>
      <c r="R139" s="72">
        <f t="shared" ref="R139:W139" si="94">SUM(R126:R138)</f>
        <v>8.5</v>
      </c>
      <c r="S139" s="72">
        <f t="shared" si="94"/>
        <v>8.5</v>
      </c>
      <c r="T139" s="72">
        <f t="shared" si="94"/>
        <v>8.5</v>
      </c>
      <c r="U139" s="72">
        <f t="shared" si="94"/>
        <v>5.5</v>
      </c>
      <c r="V139" s="72">
        <f t="shared" si="94"/>
        <v>0</v>
      </c>
      <c r="W139" s="72">
        <f t="shared" si="94"/>
        <v>0</v>
      </c>
      <c r="X139" s="118"/>
      <c r="Y139" s="56"/>
      <c r="Z139" s="56"/>
      <c r="AA139" s="56"/>
      <c r="AB139" s="56"/>
      <c r="AC139" s="56"/>
      <c r="AD139" s="56"/>
      <c r="AE139" s="56"/>
      <c r="AF139" s="56"/>
    </row>
    <row r="140" spans="2:32" x14ac:dyDescent="0.25">
      <c r="B140" s="55"/>
      <c r="C140" s="55"/>
      <c r="D140" s="55"/>
      <c r="E140" s="178"/>
      <c r="F140" s="178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55"/>
      <c r="W140" s="55"/>
    </row>
    <row r="141" spans="2:32" x14ac:dyDescent="0.25">
      <c r="B141" s="57"/>
      <c r="C141" s="58"/>
      <c r="D141" s="1" t="s">
        <v>40</v>
      </c>
      <c r="E141" s="179">
        <f>E114+1</f>
        <v>10</v>
      </c>
      <c r="F141" s="179" t="s">
        <v>0</v>
      </c>
      <c r="G141" s="2">
        <f>SUM(I144:I150)</f>
        <v>1.6041666666666667</v>
      </c>
      <c r="H141" s="221" t="s">
        <v>1</v>
      </c>
      <c r="I141" s="222"/>
      <c r="J141" s="2">
        <f>SUM(J144:J150)</f>
        <v>1.6041666666666667</v>
      </c>
      <c r="K141" s="67"/>
      <c r="L141" s="68"/>
      <c r="M141" s="35"/>
      <c r="N141" s="40" t="s">
        <v>57</v>
      </c>
      <c r="O141" s="8"/>
    </row>
    <row r="142" spans="2:32" x14ac:dyDescent="0.25">
      <c r="B142" s="59"/>
      <c r="C142" s="60"/>
      <c r="D142" s="1"/>
      <c r="E142" s="179"/>
      <c r="F142" s="180" t="s">
        <v>48</v>
      </c>
      <c r="G142" s="2">
        <f>SUM(Q144:Q150)/24</f>
        <v>0</v>
      </c>
      <c r="H142" s="52"/>
      <c r="I142" s="21" t="s">
        <v>58</v>
      </c>
      <c r="J142" s="2">
        <f>P166/24</f>
        <v>1.6458333333333333</v>
      </c>
      <c r="K142" s="67"/>
      <c r="L142" s="69"/>
      <c r="M142" s="7"/>
      <c r="O142" s="8" t="s">
        <v>191</v>
      </c>
      <c r="Q142" s="93">
        <f>SUM(Q144:Q150)</f>
        <v>0</v>
      </c>
      <c r="R142" s="93">
        <f>SUM(R144:R150)</f>
        <v>2.25</v>
      </c>
      <c r="S142" s="93">
        <f>SUM(S144:S150)</f>
        <v>3.7500000000000009</v>
      </c>
      <c r="T142" s="110" t="s">
        <v>188</v>
      </c>
      <c r="U142" s="58"/>
      <c r="V142" s="112" t="s">
        <v>189</v>
      </c>
    </row>
    <row r="143" spans="2:32" x14ac:dyDescent="0.25">
      <c r="B143" s="61"/>
      <c r="C143" s="62"/>
      <c r="D143" s="1" t="s">
        <v>2</v>
      </c>
      <c r="E143" s="179" t="s">
        <v>3</v>
      </c>
      <c r="F143" s="179" t="s">
        <v>4</v>
      </c>
      <c r="G143" s="1" t="s">
        <v>5</v>
      </c>
      <c r="H143" s="52" t="s">
        <v>6</v>
      </c>
      <c r="I143" s="52" t="s">
        <v>7</v>
      </c>
      <c r="J143" s="52" t="s">
        <v>45</v>
      </c>
      <c r="K143" s="1" t="s">
        <v>44</v>
      </c>
      <c r="L143" s="219" t="s">
        <v>21</v>
      </c>
      <c r="M143" s="220"/>
      <c r="N143" s="219" t="s">
        <v>18</v>
      </c>
      <c r="O143" s="220"/>
      <c r="P143" s="42" t="s">
        <v>56</v>
      </c>
      <c r="Q143" s="93" t="s">
        <v>138</v>
      </c>
      <c r="R143" s="52" t="s">
        <v>139</v>
      </c>
      <c r="S143" s="52" t="s">
        <v>140</v>
      </c>
      <c r="T143" s="111" t="s">
        <v>187</v>
      </c>
      <c r="U143" s="62"/>
      <c r="V143" s="113" t="s">
        <v>118</v>
      </c>
    </row>
    <row r="144" spans="2:32" x14ac:dyDescent="0.25">
      <c r="B144" s="21" t="str">
        <f>IF(C144=1,"Mo",IF(C144=2,"Di",IF(C144=3,"Mi",IF(C144=4,"Do",IF(C144=5,"Fr",IF(C144=6,"Sa",IF(C144=7,"So","")))))))</f>
        <v>Mo</v>
      </c>
      <c r="C144" s="1">
        <f>WEEKDAY(D144,2)</f>
        <v>1</v>
      </c>
      <c r="D144" s="3">
        <f>D117+7</f>
        <v>46083</v>
      </c>
      <c r="E144" s="181">
        <v>0.375</v>
      </c>
      <c r="F144" s="182">
        <v>0.70833333333333337</v>
      </c>
      <c r="G144" s="5">
        <f t="shared" ref="G144:G150" si="95">IF(AND(H144&gt;6/24,H144&lt;=9.5/24),0.5/24,IF(H144&gt;9.5/24,0.75/24,0))</f>
        <v>2.0833333333333332E-2</v>
      </c>
      <c r="H144" s="22">
        <f t="shared" ref="H144:H150" si="96">((IF(E144*24&gt;F144*24,F144*24+(24-E144*24),F144*24-E144*24))/24)-(V144/24)</f>
        <v>0.33333333333333331</v>
      </c>
      <c r="I144" s="6">
        <f>H144-G144</f>
        <v>0.3125</v>
      </c>
      <c r="J144" s="6">
        <f>IF(C144&lt;6,I144,0/24)</f>
        <v>0.3125</v>
      </c>
      <c r="K144" s="23">
        <f>IF(C144&lt;5,((0.5+8.5+(E144*24))/24),IF(C144=5,((6+(E144*24))/24),))</f>
        <v>0.75</v>
      </c>
      <c r="L144" s="219"/>
      <c r="M144" s="220"/>
      <c r="N144" s="219"/>
      <c r="O144" s="220"/>
      <c r="P144" s="39">
        <f>IF(I144="","",I144*24)</f>
        <v>7.5</v>
      </c>
      <c r="Q144" s="71"/>
      <c r="R144" s="94" t="b">
        <f t="shared" ref="R144:R150" si="97">IF(C144&lt;5,(IF(P144&gt;8.5,P144-8.5)),IF(C144=5,(IF(P144&gt;6,P144-6)),IF(C144&gt;5,P144)))</f>
        <v>0</v>
      </c>
      <c r="S144" s="94">
        <f>IF(C144&lt;5,(IF(P144&lt;8.5,8.5-P144)),IF(C144=5,(IF(P144&lt;6,6-P144))))</f>
        <v>1</v>
      </c>
      <c r="T144" s="24"/>
      <c r="U144" s="25"/>
      <c r="V144" s="109">
        <v>0</v>
      </c>
      <c r="W144" s="114">
        <f t="shared" ref="W144:W150" si="98">D144</f>
        <v>46083</v>
      </c>
      <c r="X144" s="21" t="str">
        <f>B144</f>
        <v>Mo</v>
      </c>
    </row>
    <row r="145" spans="2:32" x14ac:dyDescent="0.25">
      <c r="B145" s="21" t="str">
        <f t="shared" ref="B145:B150" si="99">IF(C145=1,"Mo",IF(C145=2,"Di",IF(C145=3,"Mi",IF(C145=4,"Do",IF(C145=5,"Fr",IF(C145=6,"Sa",IF(C145=7,"So","")))))))</f>
        <v>Di</v>
      </c>
      <c r="C145" s="1">
        <f t="shared" ref="C145:C150" si="100">WEEKDAY(D145,2)</f>
        <v>2</v>
      </c>
      <c r="D145" s="3">
        <f t="shared" ref="D145:D150" si="101">D144+1</f>
        <v>46084</v>
      </c>
      <c r="E145" s="181">
        <v>0.34375</v>
      </c>
      <c r="F145" s="182">
        <v>0.64583333333333337</v>
      </c>
      <c r="G145" s="5">
        <f t="shared" si="95"/>
        <v>2.0833333333333332E-2</v>
      </c>
      <c r="H145" s="22">
        <f t="shared" si="96"/>
        <v>0.26041666666666663</v>
      </c>
      <c r="I145" s="6">
        <f t="shared" ref="I145:I150" si="102">H145-G145</f>
        <v>0.23958333333333329</v>
      </c>
      <c r="J145" s="6">
        <f t="shared" ref="J145:J150" si="103">IF(C145&lt;6,I145,0/24)</f>
        <v>0.23958333333333329</v>
      </c>
      <c r="K145" s="23">
        <f t="shared" ref="K145:K150" si="104">IF(C145&lt;5,((0.5+8.5+(E145*24))/24),IF(C145=5,((6+(E145*24))/24),))</f>
        <v>0.71875</v>
      </c>
      <c r="L145" s="219"/>
      <c r="M145" s="220"/>
      <c r="N145" s="219"/>
      <c r="O145" s="220"/>
      <c r="P145" s="39">
        <f t="shared" ref="P145:P150" si="105">IF(I145="","",I145*24)</f>
        <v>5.7499999999999991</v>
      </c>
      <c r="Q145" s="71"/>
      <c r="R145" s="94" t="b">
        <f t="shared" si="97"/>
        <v>0</v>
      </c>
      <c r="S145" s="94">
        <f t="shared" ref="S145:S150" si="106">IF(C145&lt;5,(IF(P145&lt;8.5,8.5-P145)),IF(C145=5,(IF(P145&lt;6,6-P145))))</f>
        <v>2.7500000000000009</v>
      </c>
      <c r="T145" s="24"/>
      <c r="U145" s="25"/>
      <c r="V145" s="109">
        <v>1</v>
      </c>
      <c r="W145" s="114">
        <f t="shared" si="98"/>
        <v>46084</v>
      </c>
      <c r="X145" s="21" t="str">
        <f t="shared" ref="X145:X150" si="107">B145</f>
        <v>Di</v>
      </c>
    </row>
    <row r="146" spans="2:32" x14ac:dyDescent="0.25">
      <c r="B146" s="21" t="str">
        <f t="shared" si="99"/>
        <v>Mi</v>
      </c>
      <c r="C146" s="1">
        <f t="shared" si="100"/>
        <v>3</v>
      </c>
      <c r="D146" s="3">
        <f t="shared" si="101"/>
        <v>46085</v>
      </c>
      <c r="E146" s="181">
        <v>0.33333333333333331</v>
      </c>
      <c r="F146" s="182">
        <v>0.78125</v>
      </c>
      <c r="G146" s="5">
        <f t="shared" si="95"/>
        <v>3.125E-2</v>
      </c>
      <c r="H146" s="22">
        <f t="shared" si="96"/>
        <v>0.44791666666666669</v>
      </c>
      <c r="I146" s="6">
        <f t="shared" si="102"/>
        <v>0.41666666666666669</v>
      </c>
      <c r="J146" s="6">
        <f t="shared" si="103"/>
        <v>0.41666666666666669</v>
      </c>
      <c r="K146" s="23">
        <f t="shared" si="104"/>
        <v>0.70833333333333337</v>
      </c>
      <c r="L146" s="219"/>
      <c r="M146" s="220"/>
      <c r="N146" s="219"/>
      <c r="O146" s="220"/>
      <c r="P146" s="39">
        <f t="shared" si="105"/>
        <v>10</v>
      </c>
      <c r="Q146" s="71"/>
      <c r="R146" s="94">
        <f t="shared" si="97"/>
        <v>1.5</v>
      </c>
      <c r="S146" s="94" t="b">
        <f t="shared" si="106"/>
        <v>0</v>
      </c>
      <c r="T146" s="24"/>
      <c r="U146" s="25"/>
      <c r="V146" s="109">
        <v>0</v>
      </c>
      <c r="W146" s="114">
        <f t="shared" si="98"/>
        <v>46085</v>
      </c>
      <c r="X146" s="21" t="str">
        <f t="shared" si="107"/>
        <v>Mi</v>
      </c>
    </row>
    <row r="147" spans="2:32" x14ac:dyDescent="0.25">
      <c r="B147" s="21" t="str">
        <f t="shared" si="99"/>
        <v>Do</v>
      </c>
      <c r="C147" s="1">
        <f t="shared" si="100"/>
        <v>4</v>
      </c>
      <c r="D147" s="3">
        <f t="shared" si="101"/>
        <v>46086</v>
      </c>
      <c r="E147" s="181">
        <v>0.32291666666666669</v>
      </c>
      <c r="F147" s="182">
        <v>0.72916666666666663</v>
      </c>
      <c r="G147" s="5">
        <f t="shared" si="95"/>
        <v>3.125E-2</v>
      </c>
      <c r="H147" s="22">
        <f t="shared" si="96"/>
        <v>0.40625</v>
      </c>
      <c r="I147" s="6">
        <f t="shared" si="102"/>
        <v>0.375</v>
      </c>
      <c r="J147" s="6">
        <f t="shared" si="103"/>
        <v>0.375</v>
      </c>
      <c r="K147" s="23">
        <f t="shared" si="104"/>
        <v>0.69791666666666663</v>
      </c>
      <c r="L147" s="219"/>
      <c r="M147" s="220"/>
      <c r="N147" s="219"/>
      <c r="O147" s="220"/>
      <c r="P147" s="39">
        <f t="shared" si="105"/>
        <v>9</v>
      </c>
      <c r="Q147" s="71"/>
      <c r="R147" s="94">
        <f t="shared" si="97"/>
        <v>0.5</v>
      </c>
      <c r="S147" s="94" t="b">
        <f t="shared" si="106"/>
        <v>0</v>
      </c>
      <c r="T147" s="24"/>
      <c r="U147" s="25"/>
      <c r="V147" s="109">
        <v>0</v>
      </c>
      <c r="W147" s="114">
        <f t="shared" si="98"/>
        <v>46086</v>
      </c>
      <c r="X147" s="21" t="str">
        <f t="shared" si="107"/>
        <v>Do</v>
      </c>
    </row>
    <row r="148" spans="2:32" x14ac:dyDescent="0.25">
      <c r="B148" s="21" t="str">
        <f t="shared" si="99"/>
        <v>Fr</v>
      </c>
      <c r="C148" s="1">
        <f t="shared" si="100"/>
        <v>5</v>
      </c>
      <c r="D148" s="3">
        <f t="shared" si="101"/>
        <v>46087</v>
      </c>
      <c r="E148" s="181">
        <v>0.34375</v>
      </c>
      <c r="F148" s="182">
        <v>0.625</v>
      </c>
      <c r="G148" s="5">
        <f t="shared" si="95"/>
        <v>2.0833333333333332E-2</v>
      </c>
      <c r="H148" s="22">
        <f t="shared" si="96"/>
        <v>0.28125</v>
      </c>
      <c r="I148" s="6">
        <f t="shared" si="102"/>
        <v>0.26041666666666669</v>
      </c>
      <c r="J148" s="6">
        <f t="shared" si="103"/>
        <v>0.26041666666666669</v>
      </c>
      <c r="K148" s="23">
        <f t="shared" si="104"/>
        <v>0.59375</v>
      </c>
      <c r="L148" s="219"/>
      <c r="M148" s="220"/>
      <c r="N148" s="219"/>
      <c r="O148" s="220"/>
      <c r="P148" s="39">
        <f t="shared" si="105"/>
        <v>6.25</v>
      </c>
      <c r="Q148" s="71"/>
      <c r="R148" s="94">
        <f t="shared" si="97"/>
        <v>0.25</v>
      </c>
      <c r="S148" s="94" t="b">
        <f t="shared" si="106"/>
        <v>0</v>
      </c>
      <c r="T148" s="24"/>
      <c r="U148" s="25"/>
      <c r="V148" s="109">
        <v>0</v>
      </c>
      <c r="W148" s="114">
        <f t="shared" si="98"/>
        <v>46087</v>
      </c>
      <c r="X148" s="21" t="str">
        <f t="shared" si="107"/>
        <v>Fr</v>
      </c>
    </row>
    <row r="149" spans="2:32" x14ac:dyDescent="0.25">
      <c r="B149" s="21" t="str">
        <f t="shared" si="99"/>
        <v>Sa</v>
      </c>
      <c r="C149" s="1">
        <f t="shared" si="100"/>
        <v>6</v>
      </c>
      <c r="D149" s="3">
        <f t="shared" si="101"/>
        <v>46088</v>
      </c>
      <c r="E149" s="181"/>
      <c r="F149" s="182"/>
      <c r="G149" s="5">
        <f t="shared" si="95"/>
        <v>0</v>
      </c>
      <c r="H149" s="22">
        <f t="shared" si="96"/>
        <v>0</v>
      </c>
      <c r="I149" s="6">
        <f t="shared" si="102"/>
        <v>0</v>
      </c>
      <c r="J149" s="6">
        <f t="shared" si="103"/>
        <v>0</v>
      </c>
      <c r="K149" s="23">
        <f t="shared" si="104"/>
        <v>0</v>
      </c>
      <c r="L149" s="219"/>
      <c r="M149" s="220"/>
      <c r="N149" s="219"/>
      <c r="O149" s="220"/>
      <c r="P149" s="39">
        <f t="shared" si="105"/>
        <v>0</v>
      </c>
      <c r="Q149" s="71"/>
      <c r="R149" s="94">
        <f t="shared" si="97"/>
        <v>0</v>
      </c>
      <c r="S149" s="94" t="b">
        <f t="shared" si="106"/>
        <v>0</v>
      </c>
      <c r="T149" s="24"/>
      <c r="U149" s="25"/>
      <c r="V149" s="109">
        <v>0</v>
      </c>
      <c r="W149" s="114">
        <f t="shared" si="98"/>
        <v>46088</v>
      </c>
      <c r="X149" s="21" t="str">
        <f t="shared" si="107"/>
        <v>Sa</v>
      </c>
    </row>
    <row r="150" spans="2:32" x14ac:dyDescent="0.25">
      <c r="B150" s="21" t="str">
        <f t="shared" si="99"/>
        <v>So</v>
      </c>
      <c r="C150" s="1">
        <f t="shared" si="100"/>
        <v>7</v>
      </c>
      <c r="D150" s="3">
        <f t="shared" si="101"/>
        <v>46089</v>
      </c>
      <c r="E150" s="181"/>
      <c r="F150" s="182"/>
      <c r="G150" s="5">
        <f t="shared" si="95"/>
        <v>0</v>
      </c>
      <c r="H150" s="22">
        <f t="shared" si="96"/>
        <v>0</v>
      </c>
      <c r="I150" s="6">
        <f t="shared" si="102"/>
        <v>0</v>
      </c>
      <c r="J150" s="6">
        <f t="shared" si="103"/>
        <v>0</v>
      </c>
      <c r="K150" s="23">
        <f t="shared" si="104"/>
        <v>0</v>
      </c>
      <c r="L150" s="219"/>
      <c r="M150" s="220"/>
      <c r="N150" s="219"/>
      <c r="O150" s="220"/>
      <c r="P150" s="39">
        <f t="shared" si="105"/>
        <v>0</v>
      </c>
      <c r="Q150" s="71"/>
      <c r="R150" s="94">
        <f t="shared" si="97"/>
        <v>0</v>
      </c>
      <c r="S150" s="94" t="b">
        <f t="shared" si="106"/>
        <v>0</v>
      </c>
      <c r="T150" s="24"/>
      <c r="U150" s="25"/>
      <c r="V150" s="109">
        <v>0</v>
      </c>
      <c r="W150" s="114">
        <f t="shared" si="98"/>
        <v>46089</v>
      </c>
      <c r="X150" s="21" t="str">
        <f t="shared" si="107"/>
        <v>So</v>
      </c>
    </row>
    <row r="151" spans="2:32" x14ac:dyDescent="0.25">
      <c r="F151" s="183"/>
      <c r="G151" s="18"/>
      <c r="H151" s="18"/>
      <c r="I151" s="19"/>
      <c r="J151" s="19"/>
      <c r="K151" s="18"/>
      <c r="L151" s="18"/>
      <c r="M151" s="18"/>
      <c r="N151" s="20"/>
      <c r="O151" s="20"/>
      <c r="P151" s="18"/>
      <c r="Q151" s="145">
        <f>D144</f>
        <v>46083</v>
      </c>
      <c r="R151" s="145">
        <f>D145</f>
        <v>46084</v>
      </c>
      <c r="S151" s="145">
        <f>D146</f>
        <v>46085</v>
      </c>
      <c r="T151" s="145">
        <f>D147</f>
        <v>46086</v>
      </c>
      <c r="U151" s="145">
        <f>D148</f>
        <v>46087</v>
      </c>
      <c r="V151" s="145">
        <f>D149</f>
        <v>46088</v>
      </c>
      <c r="W151" s="145">
        <f>D150</f>
        <v>46089</v>
      </c>
      <c r="Z151" s="84" t="s">
        <v>208</v>
      </c>
      <c r="AA151" s="85"/>
      <c r="AB151" s="85"/>
      <c r="AC151" s="85"/>
      <c r="AD151" s="85"/>
      <c r="AE151" s="85"/>
      <c r="AF151" s="86"/>
    </row>
    <row r="152" spans="2:32" x14ac:dyDescent="0.25">
      <c r="D152" s="51" t="s">
        <v>30</v>
      </c>
      <c r="E152" s="184" t="s">
        <v>8</v>
      </c>
      <c r="F152" s="184" t="s">
        <v>97</v>
      </c>
      <c r="G152" s="8" t="s">
        <v>98</v>
      </c>
      <c r="H152" s="51" t="s">
        <v>9</v>
      </c>
      <c r="I152" s="8" t="s">
        <v>10</v>
      </c>
      <c r="J152" s="8" t="s">
        <v>11</v>
      </c>
      <c r="K152" s="8" t="s">
        <v>99</v>
      </c>
      <c r="L152" s="8" t="s">
        <v>100</v>
      </c>
      <c r="M152" s="8" t="s">
        <v>101</v>
      </c>
      <c r="N152" s="8" t="s">
        <v>102</v>
      </c>
      <c r="O152" s="8"/>
      <c r="P152" s="8" t="s">
        <v>90</v>
      </c>
      <c r="Q152" s="8" t="s">
        <v>60</v>
      </c>
      <c r="R152" s="8" t="s">
        <v>61</v>
      </c>
      <c r="S152" s="8" t="s">
        <v>62</v>
      </c>
      <c r="T152" s="8" t="s">
        <v>63</v>
      </c>
      <c r="U152" s="8" t="s">
        <v>64</v>
      </c>
      <c r="V152" s="8" t="s">
        <v>65</v>
      </c>
      <c r="W152" s="8" t="s">
        <v>66</v>
      </c>
      <c r="Z152" s="8" t="s">
        <v>60</v>
      </c>
      <c r="AA152" s="8" t="s">
        <v>61</v>
      </c>
      <c r="AB152" s="8" t="s">
        <v>62</v>
      </c>
      <c r="AC152" s="8" t="s">
        <v>63</v>
      </c>
      <c r="AD152" s="8" t="s">
        <v>64</v>
      </c>
      <c r="AE152" s="8" t="s">
        <v>65</v>
      </c>
      <c r="AF152" s="8" t="s">
        <v>66</v>
      </c>
    </row>
    <row r="153" spans="2:32" x14ac:dyDescent="0.25">
      <c r="D153" s="1" t="s">
        <v>95</v>
      </c>
      <c r="E153" s="179"/>
      <c r="F153" s="179"/>
      <c r="G153" s="1"/>
      <c r="H153" s="42"/>
      <c r="I153" s="42" t="str">
        <f>IF($D153="","",IF(VLOOKUP($D153,TaskNEU!$B$3:$D$36,3,FALSE)="","",VLOOKUP($D153,TaskNEU!$B$3:$D$36,3,FALSE)))</f>
        <v/>
      </c>
      <c r="J153" s="1"/>
      <c r="K153" s="1"/>
      <c r="L153" s="1"/>
      <c r="M153" s="1"/>
      <c r="N153" s="1"/>
      <c r="O153" s="1"/>
      <c r="P153" s="91">
        <f>SUM(Q153:W153)</f>
        <v>0</v>
      </c>
      <c r="Q153" s="91"/>
      <c r="R153" s="91"/>
      <c r="S153" s="91"/>
      <c r="T153" s="91"/>
      <c r="U153" s="91"/>
      <c r="V153" s="91"/>
      <c r="W153" s="91"/>
      <c r="Z153" s="123"/>
      <c r="AA153" s="123"/>
      <c r="AB153" s="123"/>
      <c r="AC153" s="123"/>
      <c r="AD153" s="123"/>
      <c r="AE153" s="123"/>
      <c r="AF153" s="123"/>
    </row>
    <row r="154" spans="2:32" x14ac:dyDescent="0.25">
      <c r="D154" s="1"/>
      <c r="E154" s="179"/>
      <c r="F154" s="179"/>
      <c r="G154" s="1"/>
      <c r="H154" s="42"/>
      <c r="I154" s="42"/>
      <c r="J154" s="92"/>
      <c r="K154" s="1"/>
      <c r="L154" s="1"/>
      <c r="M154" s="1"/>
      <c r="N154" s="1"/>
      <c r="O154" s="1"/>
      <c r="P154" s="91">
        <f>SUM(Q154:W154)</f>
        <v>19.5</v>
      </c>
      <c r="Q154" s="91">
        <v>5</v>
      </c>
      <c r="R154" s="91"/>
      <c r="S154" s="91">
        <v>9</v>
      </c>
      <c r="T154" s="91">
        <v>5.5</v>
      </c>
      <c r="U154" s="91"/>
      <c r="V154" s="91"/>
      <c r="W154" s="91"/>
      <c r="Z154" s="123"/>
      <c r="AA154" s="123"/>
      <c r="AB154" s="123"/>
      <c r="AC154" s="123"/>
      <c r="AD154" s="123"/>
      <c r="AE154" s="123"/>
      <c r="AF154" s="123"/>
    </row>
    <row r="155" spans="2:32" x14ac:dyDescent="0.25">
      <c r="D155" s="1"/>
      <c r="E155" s="184"/>
      <c r="F155" s="184"/>
      <c r="G155" s="8"/>
      <c r="H155" s="51"/>
      <c r="I155" s="8"/>
      <c r="J155" s="8"/>
      <c r="K155" s="8"/>
      <c r="L155" s="8"/>
      <c r="M155" s="8"/>
      <c r="N155" s="8"/>
      <c r="O155" s="8"/>
      <c r="P155" s="91">
        <f>SUM(Q155:W155)</f>
        <v>1</v>
      </c>
      <c r="Q155" s="41">
        <v>1</v>
      </c>
      <c r="R155" s="41">
        <v>0</v>
      </c>
      <c r="S155" s="41">
        <v>0</v>
      </c>
      <c r="T155" s="41">
        <v>0</v>
      </c>
      <c r="U155" s="41">
        <v>0</v>
      </c>
      <c r="V155" s="41">
        <v>0</v>
      </c>
      <c r="W155" s="41">
        <v>0</v>
      </c>
      <c r="Z155" s="124" t="s">
        <v>256</v>
      </c>
      <c r="AA155" s="124"/>
      <c r="AB155" s="124"/>
      <c r="AC155" s="124"/>
      <c r="AD155" s="124"/>
      <c r="AE155" s="124"/>
      <c r="AF155" s="124"/>
    </row>
    <row r="156" spans="2:32" x14ac:dyDescent="0.25">
      <c r="D156" s="1"/>
      <c r="E156" s="184"/>
      <c r="F156" s="184"/>
      <c r="G156" s="8"/>
      <c r="H156" s="51"/>
      <c r="I156" s="8"/>
      <c r="J156" s="8"/>
      <c r="K156" s="8"/>
      <c r="L156" s="8"/>
      <c r="M156" s="8"/>
      <c r="N156" s="8"/>
      <c r="O156" s="8"/>
      <c r="P156" s="91">
        <f t="shared" ref="P156:P165" si="108">SUM(Q156:W156)</f>
        <v>0</v>
      </c>
      <c r="Q156" s="41">
        <v>0</v>
      </c>
      <c r="R156" s="41">
        <v>0</v>
      </c>
      <c r="S156" s="41">
        <v>0</v>
      </c>
      <c r="T156" s="41">
        <v>0</v>
      </c>
      <c r="U156" s="41">
        <v>0</v>
      </c>
      <c r="V156" s="41">
        <v>0</v>
      </c>
      <c r="W156" s="41">
        <v>0</v>
      </c>
      <c r="Z156" s="124"/>
      <c r="AA156" s="124"/>
      <c r="AB156" s="124"/>
      <c r="AC156" s="124"/>
      <c r="AD156" s="124"/>
      <c r="AE156" s="124"/>
      <c r="AF156" s="124"/>
    </row>
    <row r="157" spans="2:32" x14ac:dyDescent="0.25">
      <c r="D157" s="1"/>
      <c r="E157" s="184"/>
      <c r="F157" s="184"/>
      <c r="G157" s="8"/>
      <c r="H157" s="51"/>
      <c r="I157" s="8"/>
      <c r="J157" s="8"/>
      <c r="K157" s="8"/>
      <c r="L157" s="8"/>
      <c r="M157" s="8"/>
      <c r="N157" s="8"/>
      <c r="O157" s="8"/>
      <c r="P157" s="91">
        <f t="shared" si="108"/>
        <v>19</v>
      </c>
      <c r="Q157" s="41">
        <v>2.5</v>
      </c>
      <c r="R157" s="41">
        <v>7.5</v>
      </c>
      <c r="S157" s="41">
        <v>0</v>
      </c>
      <c r="T157" s="41">
        <v>3</v>
      </c>
      <c r="U157" s="41">
        <v>6</v>
      </c>
      <c r="V157" s="41">
        <v>0</v>
      </c>
      <c r="W157" s="41">
        <v>0</v>
      </c>
      <c r="Z157" s="124"/>
      <c r="AA157" s="124"/>
      <c r="AB157" s="124"/>
      <c r="AC157" s="124"/>
      <c r="AD157" s="124"/>
      <c r="AE157" s="124"/>
      <c r="AF157" s="124"/>
    </row>
    <row r="158" spans="2:32" x14ac:dyDescent="0.25">
      <c r="D158" s="1"/>
      <c r="E158" s="184" t="str">
        <f t="shared" ref="E158:E165" si="109">IF(D158="","","1010V07213")</f>
        <v/>
      </c>
      <c r="F158" s="184" t="str">
        <f t="shared" ref="F158:F165" si="110">IF(D158="","","1000")</f>
        <v/>
      </c>
      <c r="G158" s="8" t="str">
        <f t="shared" ref="G158:G165" si="111">IF(D158="","","310")</f>
        <v/>
      </c>
      <c r="H158" s="51"/>
      <c r="I158" s="8" t="str">
        <f>IF($D158="","",IF(VLOOKUP($D158,TaskNEU!$B$3:$D$36,3,FALSE)="","",VLOOKUP($D158,TaskNEU!$B$3:$D$36,3,FALSE)))</f>
        <v/>
      </c>
      <c r="J158" s="8" t="str">
        <f>IF($D158="","",IF(VLOOKUP($D158,TaskNEU!$B$10:$E$36,2,FALSE)="","",VLOOKUP($D158,TaskNEU!$B$10:$E$36,2,FALSE)))</f>
        <v/>
      </c>
      <c r="K158" s="8"/>
      <c r="L158" s="8" t="str">
        <f>IF($D158="","",IF(VLOOKUP($D158,TaskNEU!$B$10:$E$36,4,FALSE)="","",VLOOKUP($D158,TaskNEU!$B$10:$E$36,4,FALSE)))</f>
        <v/>
      </c>
      <c r="M158" s="8"/>
      <c r="N158" s="8" t="str">
        <f t="shared" ref="N158:N165" si="112">IF(D158="","","A238")</f>
        <v/>
      </c>
      <c r="O158" s="8"/>
      <c r="P158" s="91">
        <f t="shared" si="108"/>
        <v>0</v>
      </c>
      <c r="Q158" s="41">
        <v>0</v>
      </c>
      <c r="R158" s="41">
        <v>0</v>
      </c>
      <c r="S158" s="41">
        <v>0</v>
      </c>
      <c r="T158" s="41">
        <v>0</v>
      </c>
      <c r="U158" s="41">
        <v>0</v>
      </c>
      <c r="V158" s="41">
        <v>0</v>
      </c>
      <c r="W158" s="41">
        <v>0</v>
      </c>
      <c r="Z158" s="124"/>
      <c r="AA158" s="124"/>
      <c r="AB158" s="124"/>
      <c r="AC158" s="124"/>
      <c r="AD158" s="124"/>
      <c r="AE158" s="124"/>
      <c r="AF158" s="124"/>
    </row>
    <row r="159" spans="2:32" x14ac:dyDescent="0.25">
      <c r="D159" s="1"/>
      <c r="E159" s="184" t="str">
        <f t="shared" si="109"/>
        <v/>
      </c>
      <c r="F159" s="184" t="str">
        <f t="shared" si="110"/>
        <v/>
      </c>
      <c r="G159" s="8" t="str">
        <f t="shared" si="111"/>
        <v/>
      </c>
      <c r="H159" s="51"/>
      <c r="I159" s="8" t="str">
        <f>IF($D159="","",IF(VLOOKUP($D159,TaskNEU!$B$3:$D$36,3,FALSE)="","",VLOOKUP($D159,TaskNEU!$B$3:$D$36,3,FALSE)))</f>
        <v/>
      </c>
      <c r="J159" s="8" t="str">
        <f>IF($D159="","",IF(VLOOKUP($D159,TaskNEU!$B$10:$E$36,2,FALSE)="","",VLOOKUP($D159,TaskNEU!$B$10:$E$36,2,FALSE)))</f>
        <v/>
      </c>
      <c r="K159" s="8"/>
      <c r="L159" s="8" t="str">
        <f>IF($D159="","",IF(VLOOKUP($D159,TaskNEU!$B$10:$E$36,4,FALSE)="","",VLOOKUP($D159,TaskNEU!$B$10:$E$36,4,FALSE)))</f>
        <v/>
      </c>
      <c r="M159" s="8"/>
      <c r="N159" s="8" t="str">
        <f t="shared" si="112"/>
        <v/>
      </c>
      <c r="O159" s="8"/>
      <c r="P159" s="91">
        <f t="shared" si="108"/>
        <v>0</v>
      </c>
      <c r="Q159" s="41">
        <v>0</v>
      </c>
      <c r="R159" s="41">
        <v>0</v>
      </c>
      <c r="S159" s="41">
        <v>0</v>
      </c>
      <c r="T159" s="41">
        <v>0</v>
      </c>
      <c r="U159" s="41">
        <v>0</v>
      </c>
      <c r="V159" s="41">
        <v>0</v>
      </c>
      <c r="W159" s="41">
        <v>0</v>
      </c>
      <c r="Z159" s="124"/>
      <c r="AA159" s="124"/>
      <c r="AB159" s="124"/>
      <c r="AC159" s="124"/>
      <c r="AD159" s="124"/>
      <c r="AE159" s="124"/>
      <c r="AF159" s="124"/>
    </row>
    <row r="160" spans="2:32" x14ac:dyDescent="0.25">
      <c r="D160" s="1"/>
      <c r="E160" s="184" t="str">
        <f t="shared" si="109"/>
        <v/>
      </c>
      <c r="F160" s="184" t="str">
        <f t="shared" si="110"/>
        <v/>
      </c>
      <c r="G160" s="8" t="str">
        <f t="shared" si="111"/>
        <v/>
      </c>
      <c r="H160" s="51"/>
      <c r="I160" s="8" t="str">
        <f>IF($D160="","",IF(VLOOKUP($D160,TaskNEU!$B$3:$D$36,3,FALSE)="","",VLOOKUP($D160,TaskNEU!$B$3:$D$36,3,FALSE)))</f>
        <v/>
      </c>
      <c r="J160" s="8" t="str">
        <f>IF($D160="","",IF(VLOOKUP($D160,TaskNEU!$B$10:$E$36,2,FALSE)="","",VLOOKUP($D160,TaskNEU!$B$10:$E$36,2,FALSE)))</f>
        <v/>
      </c>
      <c r="K160" s="8"/>
      <c r="L160" s="8" t="str">
        <f>IF($D160="","",IF(VLOOKUP($D160,TaskNEU!$B$10:$E$36,4,FALSE)="","",VLOOKUP($D160,TaskNEU!$B$10:$E$36,4,FALSE)))</f>
        <v/>
      </c>
      <c r="M160" s="8"/>
      <c r="N160" s="8" t="str">
        <f t="shared" si="112"/>
        <v/>
      </c>
      <c r="O160" s="8"/>
      <c r="P160" s="91">
        <f t="shared" si="108"/>
        <v>0</v>
      </c>
      <c r="Q160" s="41">
        <v>0</v>
      </c>
      <c r="R160" s="41">
        <v>0</v>
      </c>
      <c r="S160" s="41">
        <v>0</v>
      </c>
      <c r="T160" s="41">
        <v>0</v>
      </c>
      <c r="U160" s="41">
        <v>0</v>
      </c>
      <c r="V160" s="41">
        <v>0</v>
      </c>
      <c r="W160" s="41">
        <v>0</v>
      </c>
      <c r="Z160" s="124"/>
      <c r="AA160" s="124"/>
      <c r="AB160" s="124"/>
      <c r="AC160" s="124"/>
      <c r="AD160" s="124"/>
      <c r="AE160" s="124"/>
      <c r="AF160" s="124"/>
    </row>
    <row r="161" spans="2:32" x14ac:dyDescent="0.25">
      <c r="D161" s="1"/>
      <c r="E161" s="184" t="str">
        <f t="shared" si="109"/>
        <v/>
      </c>
      <c r="F161" s="184" t="str">
        <f t="shared" si="110"/>
        <v/>
      </c>
      <c r="G161" s="8" t="str">
        <f t="shared" si="111"/>
        <v/>
      </c>
      <c r="H161" s="51"/>
      <c r="I161" s="8" t="str">
        <f>IF($D161="","",IF(VLOOKUP($D161,TaskNEU!$B$3:$D$36,3,FALSE)="","",VLOOKUP($D161,TaskNEU!$B$3:$D$36,3,FALSE)))</f>
        <v/>
      </c>
      <c r="J161" s="8" t="str">
        <f>IF($D161="","",IF(VLOOKUP($D161,TaskNEU!$B$10:$E$36,2,FALSE)="","",VLOOKUP($D161,TaskNEU!$B$10:$E$36,2,FALSE)))</f>
        <v/>
      </c>
      <c r="K161" s="8"/>
      <c r="L161" s="8" t="str">
        <f>IF($D161="","",IF(VLOOKUP($D161,TaskNEU!$B$10:$E$36,4,FALSE)="","",VLOOKUP($D161,TaskNEU!$B$10:$E$36,4,FALSE)))</f>
        <v/>
      </c>
      <c r="M161" s="8"/>
      <c r="N161" s="8" t="str">
        <f t="shared" si="112"/>
        <v/>
      </c>
      <c r="O161" s="8"/>
      <c r="P161" s="91">
        <f t="shared" si="108"/>
        <v>0</v>
      </c>
      <c r="Q161" s="41">
        <v>0</v>
      </c>
      <c r="R161" s="41">
        <v>0</v>
      </c>
      <c r="S161" s="41">
        <v>0</v>
      </c>
      <c r="T161" s="41">
        <v>0</v>
      </c>
      <c r="U161" s="41">
        <v>0</v>
      </c>
      <c r="V161" s="41">
        <v>0</v>
      </c>
      <c r="W161" s="41">
        <v>0</v>
      </c>
      <c r="Z161" s="124"/>
      <c r="AA161" s="124"/>
      <c r="AB161" s="124"/>
      <c r="AC161" s="124"/>
      <c r="AD161" s="124"/>
      <c r="AE161" s="124"/>
      <c r="AF161" s="124"/>
    </row>
    <row r="162" spans="2:32" x14ac:dyDescent="0.25">
      <c r="D162" s="1"/>
      <c r="E162" s="184" t="str">
        <f t="shared" si="109"/>
        <v/>
      </c>
      <c r="F162" s="184" t="str">
        <f t="shared" si="110"/>
        <v/>
      </c>
      <c r="G162" s="8" t="str">
        <f t="shared" si="111"/>
        <v/>
      </c>
      <c r="H162" s="51"/>
      <c r="I162" s="8" t="str">
        <f>IF($D162="","",IF(VLOOKUP($D162,TaskNEU!$B$3:$D$36,3,FALSE)="","",VLOOKUP($D162,TaskNEU!$B$3:$D$36,3,FALSE)))</f>
        <v/>
      </c>
      <c r="J162" s="8" t="str">
        <f>IF($D162="","",IF(VLOOKUP($D162,TaskNEU!$B$10:$E$36,2,FALSE)="","",VLOOKUP($D162,TaskNEU!$B$10:$E$36,2,FALSE)))</f>
        <v/>
      </c>
      <c r="K162" s="8"/>
      <c r="L162" s="8" t="str">
        <f>IF($D162="","",IF(VLOOKUP($D162,TaskNEU!$B$10:$E$36,4,FALSE)="","",VLOOKUP($D162,TaskNEU!$B$10:$E$36,4,FALSE)))</f>
        <v/>
      </c>
      <c r="M162" s="8"/>
      <c r="N162" s="8" t="str">
        <f t="shared" si="112"/>
        <v/>
      </c>
      <c r="O162" s="8"/>
      <c r="P162" s="91">
        <f t="shared" si="108"/>
        <v>0</v>
      </c>
      <c r="Q162" s="41">
        <v>0</v>
      </c>
      <c r="R162" s="41">
        <v>0</v>
      </c>
      <c r="S162" s="41">
        <v>0</v>
      </c>
      <c r="T162" s="41">
        <v>0</v>
      </c>
      <c r="U162" s="41">
        <v>0</v>
      </c>
      <c r="V162" s="41">
        <v>0</v>
      </c>
      <c r="W162" s="41">
        <v>0</v>
      </c>
      <c r="Z162" s="124"/>
      <c r="AA162" s="124"/>
      <c r="AB162" s="124"/>
      <c r="AC162" s="124"/>
      <c r="AD162" s="124"/>
      <c r="AE162" s="124"/>
      <c r="AF162" s="124"/>
    </row>
    <row r="163" spans="2:32" x14ac:dyDescent="0.25">
      <c r="D163" s="1"/>
      <c r="E163" s="184" t="str">
        <f t="shared" si="109"/>
        <v/>
      </c>
      <c r="F163" s="184" t="str">
        <f t="shared" si="110"/>
        <v/>
      </c>
      <c r="G163" s="8" t="str">
        <f t="shared" si="111"/>
        <v/>
      </c>
      <c r="H163" s="51"/>
      <c r="I163" s="8" t="str">
        <f>IF($D163="","",IF(VLOOKUP($D163,TaskNEU!$B$3:$D$36,3,FALSE)="","",VLOOKUP($D163,TaskNEU!$B$3:$D$36,3,FALSE)))</f>
        <v/>
      </c>
      <c r="J163" s="8" t="str">
        <f>IF($D163="","",IF(VLOOKUP($D163,TaskNEU!$B$10:$E$36,2,FALSE)="","",VLOOKUP($D163,TaskNEU!$B$10:$E$36,2,FALSE)))</f>
        <v/>
      </c>
      <c r="K163" s="8"/>
      <c r="L163" s="8" t="str">
        <f>IF($D163="","",IF(VLOOKUP($D163,TaskNEU!$B$10:$E$36,4,FALSE)="","",VLOOKUP($D163,TaskNEU!$B$10:$E$36,4,FALSE)))</f>
        <v/>
      </c>
      <c r="M163" s="8"/>
      <c r="N163" s="8" t="str">
        <f t="shared" si="112"/>
        <v/>
      </c>
      <c r="O163" s="8"/>
      <c r="P163" s="91">
        <f t="shared" si="108"/>
        <v>0</v>
      </c>
      <c r="Q163" s="41">
        <v>0</v>
      </c>
      <c r="R163" s="41">
        <v>0</v>
      </c>
      <c r="S163" s="41">
        <v>0</v>
      </c>
      <c r="T163" s="41">
        <v>0</v>
      </c>
      <c r="U163" s="41">
        <v>0</v>
      </c>
      <c r="V163" s="41">
        <v>0</v>
      </c>
      <c r="W163" s="41">
        <v>0</v>
      </c>
      <c r="Z163" s="124"/>
      <c r="AA163" s="124"/>
      <c r="AB163" s="124"/>
      <c r="AC163" s="124"/>
      <c r="AD163" s="124"/>
      <c r="AE163" s="124"/>
      <c r="AF163" s="124"/>
    </row>
    <row r="164" spans="2:32" x14ac:dyDescent="0.25">
      <c r="D164" s="1"/>
      <c r="E164" s="184" t="str">
        <f t="shared" si="109"/>
        <v/>
      </c>
      <c r="F164" s="184" t="str">
        <f t="shared" si="110"/>
        <v/>
      </c>
      <c r="G164" s="8" t="str">
        <f t="shared" si="111"/>
        <v/>
      </c>
      <c r="H164" s="51"/>
      <c r="I164" s="8" t="str">
        <f>IF($D164="","",IF(VLOOKUP($D164,TaskNEU!$B$3:$D$36,3,FALSE)="","",VLOOKUP($D164,TaskNEU!$B$3:$D$36,3,FALSE)))</f>
        <v/>
      </c>
      <c r="J164" s="8" t="str">
        <f>IF($D164="","",IF(VLOOKUP($D164,TaskNEU!$B$10:$E$36,2,FALSE)="","",VLOOKUP($D164,TaskNEU!$B$10:$E$36,2,FALSE)))</f>
        <v/>
      </c>
      <c r="K164" s="8"/>
      <c r="L164" s="8" t="str">
        <f>IF($D164="","",IF(VLOOKUP($D164,TaskNEU!$B$10:$E$36,4,FALSE)="","",VLOOKUP($D164,TaskNEU!$B$10:$E$36,4,FALSE)))</f>
        <v/>
      </c>
      <c r="M164" s="8"/>
      <c r="N164" s="8" t="str">
        <f t="shared" si="112"/>
        <v/>
      </c>
      <c r="O164" s="8"/>
      <c r="P164" s="91">
        <f t="shared" si="108"/>
        <v>0</v>
      </c>
      <c r="Q164" s="41">
        <v>0</v>
      </c>
      <c r="R164" s="41">
        <v>0</v>
      </c>
      <c r="S164" s="41">
        <v>0</v>
      </c>
      <c r="T164" s="41">
        <v>0</v>
      </c>
      <c r="U164" s="41">
        <v>0</v>
      </c>
      <c r="V164" s="41">
        <v>0</v>
      </c>
      <c r="W164" s="41">
        <v>0</v>
      </c>
      <c r="Z164" s="124"/>
      <c r="AA164" s="124"/>
      <c r="AB164" s="124"/>
      <c r="AC164" s="124"/>
      <c r="AD164" s="124"/>
      <c r="AE164" s="124"/>
      <c r="AF164" s="124"/>
    </row>
    <row r="165" spans="2:32" x14ac:dyDescent="0.25">
      <c r="D165" s="1"/>
      <c r="E165" s="184" t="str">
        <f t="shared" si="109"/>
        <v/>
      </c>
      <c r="F165" s="184" t="str">
        <f t="shared" si="110"/>
        <v/>
      </c>
      <c r="G165" s="8" t="str">
        <f t="shared" si="111"/>
        <v/>
      </c>
      <c r="H165" s="51"/>
      <c r="I165" s="8" t="str">
        <f>IF($D165="","",IF(VLOOKUP($D165,TaskNEU!$B$3:$D$36,3,FALSE)="","",VLOOKUP($D165,TaskNEU!$B$3:$D$36,3,FALSE)))</f>
        <v/>
      </c>
      <c r="J165" s="8" t="str">
        <f>IF($D165="","",IF(VLOOKUP($D165,TaskNEU!$B$10:$E$36,2,FALSE)="","",VLOOKUP($D165,TaskNEU!$B$10:$E$36,2,FALSE)))</f>
        <v/>
      </c>
      <c r="K165" s="8"/>
      <c r="L165" s="8" t="str">
        <f>IF($D165="","",IF(VLOOKUP($D165,TaskNEU!$B$10:$E$36,4,FALSE)="","",VLOOKUP($D165,TaskNEU!$B$10:$E$36,4,FALSE)))</f>
        <v/>
      </c>
      <c r="M165" s="8"/>
      <c r="N165" s="8" t="str">
        <f t="shared" si="112"/>
        <v/>
      </c>
      <c r="O165" s="8"/>
      <c r="P165" s="91">
        <f t="shared" si="108"/>
        <v>0</v>
      </c>
      <c r="Q165" s="41">
        <v>0</v>
      </c>
      <c r="R165" s="41">
        <v>0</v>
      </c>
      <c r="S165" s="41">
        <v>0</v>
      </c>
      <c r="T165" s="41">
        <v>0</v>
      </c>
      <c r="U165" s="41">
        <v>0</v>
      </c>
      <c r="V165" s="41">
        <v>0</v>
      </c>
      <c r="W165" s="41">
        <v>0</v>
      </c>
      <c r="Z165" s="124"/>
      <c r="AA165" s="124"/>
      <c r="AB165" s="124"/>
      <c r="AC165" s="124"/>
      <c r="AD165" s="124"/>
      <c r="AE165" s="124"/>
      <c r="AF165" s="124"/>
    </row>
    <row r="166" spans="2:32" ht="15.75" thickBot="1" x14ac:dyDescent="0.3">
      <c r="B166" s="56"/>
      <c r="C166" s="56"/>
      <c r="D166" s="56"/>
      <c r="E166" s="186"/>
      <c r="F166" s="186"/>
      <c r="G166" s="56"/>
      <c r="H166" s="56"/>
      <c r="I166" s="56"/>
      <c r="J166" s="56"/>
      <c r="K166" s="56"/>
      <c r="L166" s="56"/>
      <c r="M166" s="56"/>
      <c r="N166" s="56"/>
      <c r="O166" s="56"/>
      <c r="P166" s="73">
        <f>SUM(Q153:W165)</f>
        <v>39.5</v>
      </c>
      <c r="Q166" s="72">
        <f>SUM(Q153:Q165)</f>
        <v>8.5</v>
      </c>
      <c r="R166" s="72">
        <f t="shared" ref="R166:W166" si="113">SUM(R153:R165)</f>
        <v>7.5</v>
      </c>
      <c r="S166" s="72">
        <f t="shared" si="113"/>
        <v>9</v>
      </c>
      <c r="T166" s="72">
        <f t="shared" si="113"/>
        <v>8.5</v>
      </c>
      <c r="U166" s="72">
        <f t="shared" si="113"/>
        <v>6</v>
      </c>
      <c r="V166" s="72">
        <f t="shared" si="113"/>
        <v>0</v>
      </c>
      <c r="W166" s="72">
        <f t="shared" si="113"/>
        <v>0</v>
      </c>
      <c r="X166" s="118"/>
      <c r="Y166" s="56"/>
      <c r="Z166" s="56"/>
      <c r="AA166" s="56"/>
      <c r="AB166" s="56"/>
      <c r="AC166" s="56"/>
      <c r="AD166" s="56"/>
      <c r="AE166" s="56"/>
      <c r="AF166" s="56"/>
    </row>
    <row r="167" spans="2:32" x14ac:dyDescent="0.25">
      <c r="D167" s="55"/>
      <c r="E167" s="178"/>
      <c r="F167" s="178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55"/>
      <c r="W167" s="55"/>
    </row>
    <row r="168" spans="2:32" x14ac:dyDescent="0.25">
      <c r="B168" s="57"/>
      <c r="C168" s="58"/>
      <c r="D168" s="1" t="s">
        <v>40</v>
      </c>
      <c r="E168" s="179">
        <f>E141+1</f>
        <v>11</v>
      </c>
      <c r="F168" s="179" t="s">
        <v>0</v>
      </c>
      <c r="G168" s="2">
        <f>SUM(I171:I177)</f>
        <v>1.7604166666666667</v>
      </c>
      <c r="H168" s="221" t="s">
        <v>1</v>
      </c>
      <c r="I168" s="222"/>
      <c r="J168" s="2">
        <f>SUM(J171:J177)</f>
        <v>1.7604166666666667</v>
      </c>
      <c r="K168" s="67"/>
      <c r="L168" s="68"/>
      <c r="M168" s="35"/>
      <c r="N168" s="40" t="s">
        <v>57</v>
      </c>
      <c r="O168" s="8"/>
    </row>
    <row r="169" spans="2:32" x14ac:dyDescent="0.25">
      <c r="B169" s="59"/>
      <c r="C169" s="60"/>
      <c r="D169" s="1"/>
      <c r="E169" s="179"/>
      <c r="F169" s="180" t="s">
        <v>48</v>
      </c>
      <c r="G169" s="2">
        <f>SUM(Q171:Q177)/24</f>
        <v>0</v>
      </c>
      <c r="H169" s="52"/>
      <c r="I169" s="21" t="s">
        <v>58</v>
      </c>
      <c r="J169" s="2">
        <f>P193/24</f>
        <v>1.4479166666666667</v>
      </c>
      <c r="K169" s="67"/>
      <c r="L169" s="69"/>
      <c r="M169" s="7"/>
      <c r="O169" s="8" t="s">
        <v>191</v>
      </c>
      <c r="Q169" s="93">
        <f>SUM(Q171:Q177)</f>
        <v>0</v>
      </c>
      <c r="R169" s="93">
        <f>SUM(R171:R177)</f>
        <v>3.75</v>
      </c>
      <c r="S169" s="93">
        <f>SUM(S171:S177)</f>
        <v>1.5</v>
      </c>
      <c r="T169" s="110" t="s">
        <v>188</v>
      </c>
      <c r="U169" s="58"/>
      <c r="V169" s="112" t="s">
        <v>189</v>
      </c>
    </row>
    <row r="170" spans="2:32" x14ac:dyDescent="0.25">
      <c r="B170" s="61"/>
      <c r="C170" s="62"/>
      <c r="D170" s="1" t="s">
        <v>2</v>
      </c>
      <c r="E170" s="179" t="s">
        <v>3</v>
      </c>
      <c r="F170" s="179" t="s">
        <v>4</v>
      </c>
      <c r="G170" s="1" t="s">
        <v>5</v>
      </c>
      <c r="H170" s="52" t="s">
        <v>6</v>
      </c>
      <c r="I170" s="52" t="s">
        <v>7</v>
      </c>
      <c r="J170" s="52" t="s">
        <v>45</v>
      </c>
      <c r="K170" s="1" t="s">
        <v>44</v>
      </c>
      <c r="L170" s="219" t="s">
        <v>21</v>
      </c>
      <c r="M170" s="220"/>
      <c r="N170" s="219" t="s">
        <v>18</v>
      </c>
      <c r="O170" s="220"/>
      <c r="P170" s="42" t="s">
        <v>56</v>
      </c>
      <c r="Q170" s="93" t="s">
        <v>138</v>
      </c>
      <c r="R170" s="52" t="s">
        <v>139</v>
      </c>
      <c r="S170" s="52" t="s">
        <v>140</v>
      </c>
      <c r="T170" s="111" t="s">
        <v>187</v>
      </c>
      <c r="U170" s="62"/>
      <c r="V170" s="113" t="s">
        <v>118</v>
      </c>
    </row>
    <row r="171" spans="2:32" x14ac:dyDescent="0.25">
      <c r="B171" s="21" t="str">
        <f>IF(C171=1,"Mo",IF(C171=2,"Di",IF(C171=3,"Mi",IF(C171=4,"Do",IF(C171=5,"Fr",IF(C171=6,"Sa",IF(C171=7,"So","")))))))</f>
        <v>Mo</v>
      </c>
      <c r="C171" s="1">
        <f>WEEKDAY(D171,2)</f>
        <v>1</v>
      </c>
      <c r="D171" s="3">
        <f>D144+7</f>
        <v>46090</v>
      </c>
      <c r="E171" s="181">
        <v>0.36458333333333331</v>
      </c>
      <c r="F171" s="182">
        <v>0.8125</v>
      </c>
      <c r="G171" s="5">
        <f t="shared" ref="G171:G177" si="114">IF(AND(H171&gt;6/24,H171&lt;=9.5/24),0.5/24,IF(H171&gt;9.5/24,0.75/24,0))</f>
        <v>3.125E-2</v>
      </c>
      <c r="H171" s="22">
        <f t="shared" ref="H171:H177" si="115">((IF(E171*24&gt;F171*24,F171*24+(24-E171*24),F171*24-E171*24))/24)-(V171/24)</f>
        <v>0.44791666666666669</v>
      </c>
      <c r="I171" s="6">
        <f>H171-G171</f>
        <v>0.41666666666666669</v>
      </c>
      <c r="J171" s="6">
        <f>IF(C171&lt;6,I171,0/24)</f>
        <v>0.41666666666666669</v>
      </c>
      <c r="K171" s="23">
        <f>IF(C171&lt;5,((0.5+8.5+(E171*24))/24),IF(C171=5,((6+(E171*24))/24),))</f>
        <v>0.73958333333333337</v>
      </c>
      <c r="L171" s="219"/>
      <c r="M171" s="220"/>
      <c r="N171" s="219"/>
      <c r="O171" s="220"/>
      <c r="P171" s="39">
        <f>IF(I171="","",I171*24)</f>
        <v>10</v>
      </c>
      <c r="Q171" s="71"/>
      <c r="R171" s="94">
        <f t="shared" ref="R171:R177" si="116">IF(C171&lt;5,(IF(P171&gt;8.5,P171-8.5)),IF(C171=5,(IF(P171&gt;6,P171-6)),IF(C171&gt;5,P171)))</f>
        <v>1.5</v>
      </c>
      <c r="S171" s="94" t="b">
        <f>IF(C171&lt;5,(IF(P171&lt;8.5,8.5-P171)),IF(C171=5,(IF(P171&lt;6,6-P171))))</f>
        <v>0</v>
      </c>
      <c r="T171" s="24"/>
      <c r="U171" s="25"/>
      <c r="V171" s="109">
        <v>0</v>
      </c>
      <c r="W171" s="114">
        <f t="shared" ref="W171:W177" si="117">D171</f>
        <v>46090</v>
      </c>
      <c r="X171" s="21" t="str">
        <f>B171</f>
        <v>Mo</v>
      </c>
    </row>
    <row r="172" spans="2:32" x14ac:dyDescent="0.25">
      <c r="B172" s="21" t="str">
        <f t="shared" ref="B172:B177" si="118">IF(C172=1,"Mo",IF(C172=2,"Di",IF(C172=3,"Mi",IF(C172=4,"Do",IF(C172=5,"Fr",IF(C172=6,"Sa",IF(C172=7,"So","")))))))</f>
        <v>Di</v>
      </c>
      <c r="C172" s="1">
        <f t="shared" ref="C172:C177" si="119">WEEKDAY(D172,2)</f>
        <v>2</v>
      </c>
      <c r="D172" s="3">
        <f t="shared" ref="D172:D177" si="120">D171+1</f>
        <v>46091</v>
      </c>
      <c r="E172" s="181">
        <v>0.35416666666666669</v>
      </c>
      <c r="F172" s="182">
        <v>0.79166666666666663</v>
      </c>
      <c r="G172" s="5">
        <f t="shared" si="114"/>
        <v>3.125E-2</v>
      </c>
      <c r="H172" s="22">
        <f t="shared" si="115"/>
        <v>0.4375</v>
      </c>
      <c r="I172" s="6">
        <f t="shared" ref="I172:I177" si="121">H172-G172</f>
        <v>0.40625</v>
      </c>
      <c r="J172" s="6">
        <f t="shared" ref="J172:J177" si="122">IF(C172&lt;6,I172,0/24)</f>
        <v>0.40625</v>
      </c>
      <c r="K172" s="23">
        <f t="shared" ref="K172:K177" si="123">IF(C172&lt;5,((0.5+8.5+(E172*24))/24),IF(C172=5,((6+(E172*24))/24),))</f>
        <v>0.72916666666666663</v>
      </c>
      <c r="L172" s="219"/>
      <c r="M172" s="220"/>
      <c r="N172" s="219"/>
      <c r="O172" s="220"/>
      <c r="P172" s="39">
        <f t="shared" ref="P172:P177" si="124">IF(I172="","",I172*24)</f>
        <v>9.75</v>
      </c>
      <c r="Q172" s="71"/>
      <c r="R172" s="94">
        <f t="shared" si="116"/>
        <v>1.25</v>
      </c>
      <c r="S172" s="94" t="b">
        <f t="shared" ref="S172:S177" si="125">IF(C172&lt;5,(IF(P172&lt;8.5,8.5-P172)),IF(C172=5,(IF(P172&lt;6,6-P172))))</f>
        <v>0</v>
      </c>
      <c r="T172" s="24"/>
      <c r="U172" s="25"/>
      <c r="V172" s="109">
        <v>0</v>
      </c>
      <c r="W172" s="114">
        <f t="shared" si="117"/>
        <v>46091</v>
      </c>
      <c r="X172" s="21" t="str">
        <f t="shared" ref="X172:X177" si="126">B172</f>
        <v>Di</v>
      </c>
    </row>
    <row r="173" spans="2:32" x14ac:dyDescent="0.25">
      <c r="B173" s="21" t="str">
        <f t="shared" si="118"/>
        <v>Mi</v>
      </c>
      <c r="C173" s="1">
        <f t="shared" si="119"/>
        <v>3</v>
      </c>
      <c r="D173" s="3">
        <f t="shared" si="120"/>
        <v>46092</v>
      </c>
      <c r="E173" s="181">
        <v>0.34375</v>
      </c>
      <c r="F173" s="182">
        <v>0.77083333333333337</v>
      </c>
      <c r="G173" s="5">
        <f t="shared" si="114"/>
        <v>3.125E-2</v>
      </c>
      <c r="H173" s="22">
        <f t="shared" si="115"/>
        <v>0.42708333333333331</v>
      </c>
      <c r="I173" s="6">
        <f t="shared" si="121"/>
        <v>0.39583333333333331</v>
      </c>
      <c r="J173" s="6">
        <f t="shared" si="122"/>
        <v>0.39583333333333331</v>
      </c>
      <c r="K173" s="23">
        <f t="shared" si="123"/>
        <v>0.71875</v>
      </c>
      <c r="L173" s="219"/>
      <c r="M173" s="220"/>
      <c r="N173" s="219"/>
      <c r="O173" s="220"/>
      <c r="P173" s="39">
        <f t="shared" si="124"/>
        <v>9.5</v>
      </c>
      <c r="Q173" s="71"/>
      <c r="R173" s="94">
        <f t="shared" si="116"/>
        <v>1</v>
      </c>
      <c r="S173" s="94" t="b">
        <f t="shared" si="125"/>
        <v>0</v>
      </c>
      <c r="T173" s="24"/>
      <c r="U173" s="25"/>
      <c r="V173" s="109">
        <v>0</v>
      </c>
      <c r="W173" s="114">
        <f t="shared" si="117"/>
        <v>46092</v>
      </c>
      <c r="X173" s="21" t="str">
        <f t="shared" si="126"/>
        <v>Mi</v>
      </c>
    </row>
    <row r="174" spans="2:32" x14ac:dyDescent="0.25">
      <c r="B174" s="21" t="str">
        <f t="shared" si="118"/>
        <v>Do</v>
      </c>
      <c r="C174" s="1">
        <f t="shared" si="119"/>
        <v>4</v>
      </c>
      <c r="D174" s="3">
        <f t="shared" si="120"/>
        <v>46093</v>
      </c>
      <c r="E174" s="181">
        <v>0.34375</v>
      </c>
      <c r="F174" s="182">
        <v>0.67708333333333337</v>
      </c>
      <c r="G174" s="5">
        <f t="shared" si="114"/>
        <v>2.0833333333333332E-2</v>
      </c>
      <c r="H174" s="22">
        <f t="shared" si="115"/>
        <v>0.33333333333333331</v>
      </c>
      <c r="I174" s="6">
        <f t="shared" si="121"/>
        <v>0.3125</v>
      </c>
      <c r="J174" s="6">
        <f t="shared" si="122"/>
        <v>0.3125</v>
      </c>
      <c r="K174" s="23">
        <f t="shared" si="123"/>
        <v>0.71875</v>
      </c>
      <c r="L174" s="219"/>
      <c r="M174" s="220"/>
      <c r="N174" s="219"/>
      <c r="O174" s="220"/>
      <c r="P174" s="39">
        <f t="shared" si="124"/>
        <v>7.5</v>
      </c>
      <c r="Q174" s="71"/>
      <c r="R174" s="94" t="b">
        <f t="shared" si="116"/>
        <v>0</v>
      </c>
      <c r="S174" s="94">
        <f t="shared" si="125"/>
        <v>1</v>
      </c>
      <c r="T174" s="24"/>
      <c r="U174" s="25"/>
      <c r="V174" s="109">
        <v>0</v>
      </c>
      <c r="W174" s="114">
        <f t="shared" si="117"/>
        <v>46093</v>
      </c>
      <c r="X174" s="21" t="str">
        <f t="shared" si="126"/>
        <v>Do</v>
      </c>
    </row>
    <row r="175" spans="2:32" x14ac:dyDescent="0.25">
      <c r="B175" s="21" t="str">
        <f t="shared" si="118"/>
        <v>Fr</v>
      </c>
      <c r="C175" s="1">
        <f t="shared" si="119"/>
        <v>5</v>
      </c>
      <c r="D175" s="3">
        <f t="shared" si="120"/>
        <v>46094</v>
      </c>
      <c r="E175" s="181">
        <v>0.30208333333333331</v>
      </c>
      <c r="F175" s="182">
        <v>0.53125</v>
      </c>
      <c r="G175" s="5">
        <f t="shared" si="114"/>
        <v>0</v>
      </c>
      <c r="H175" s="22">
        <f t="shared" si="115"/>
        <v>0.22916666666666666</v>
      </c>
      <c r="I175" s="6">
        <f t="shared" si="121"/>
        <v>0.22916666666666666</v>
      </c>
      <c r="J175" s="6">
        <f t="shared" si="122"/>
        <v>0.22916666666666666</v>
      </c>
      <c r="K175" s="23">
        <f t="shared" si="123"/>
        <v>0.55208333333333337</v>
      </c>
      <c r="L175" s="219"/>
      <c r="M175" s="220"/>
      <c r="N175" s="219"/>
      <c r="O175" s="220"/>
      <c r="P175" s="39">
        <f t="shared" si="124"/>
        <v>5.5</v>
      </c>
      <c r="Q175" s="71"/>
      <c r="R175" s="94" t="b">
        <f t="shared" si="116"/>
        <v>0</v>
      </c>
      <c r="S175" s="94">
        <f t="shared" si="125"/>
        <v>0.5</v>
      </c>
      <c r="T175" s="24"/>
      <c r="U175" s="25"/>
      <c r="V175" s="109">
        <v>0</v>
      </c>
      <c r="W175" s="114">
        <f t="shared" si="117"/>
        <v>46094</v>
      </c>
      <c r="X175" s="21" t="str">
        <f t="shared" si="126"/>
        <v>Fr</v>
      </c>
    </row>
    <row r="176" spans="2:32" x14ac:dyDescent="0.25">
      <c r="B176" s="21" t="str">
        <f t="shared" si="118"/>
        <v>Sa</v>
      </c>
      <c r="C176" s="1">
        <f t="shared" si="119"/>
        <v>6</v>
      </c>
      <c r="D176" s="3">
        <f t="shared" si="120"/>
        <v>46095</v>
      </c>
      <c r="E176" s="181"/>
      <c r="F176" s="182"/>
      <c r="G176" s="5">
        <f t="shared" si="114"/>
        <v>0</v>
      </c>
      <c r="H176" s="22">
        <f t="shared" si="115"/>
        <v>0</v>
      </c>
      <c r="I176" s="6">
        <f t="shared" si="121"/>
        <v>0</v>
      </c>
      <c r="J176" s="6">
        <f t="shared" si="122"/>
        <v>0</v>
      </c>
      <c r="K176" s="23">
        <f t="shared" si="123"/>
        <v>0</v>
      </c>
      <c r="L176" s="219"/>
      <c r="M176" s="220"/>
      <c r="N176" s="219"/>
      <c r="O176" s="220"/>
      <c r="P176" s="39">
        <f t="shared" si="124"/>
        <v>0</v>
      </c>
      <c r="Q176" s="71"/>
      <c r="R176" s="94">
        <f t="shared" si="116"/>
        <v>0</v>
      </c>
      <c r="S176" s="94" t="b">
        <f t="shared" si="125"/>
        <v>0</v>
      </c>
      <c r="T176" s="24"/>
      <c r="U176" s="25"/>
      <c r="V176" s="109">
        <v>0</v>
      </c>
      <c r="W176" s="114">
        <f t="shared" si="117"/>
        <v>46095</v>
      </c>
      <c r="X176" s="21" t="str">
        <f t="shared" si="126"/>
        <v>Sa</v>
      </c>
    </row>
    <row r="177" spans="2:32" x14ac:dyDescent="0.25">
      <c r="B177" s="21" t="str">
        <f t="shared" si="118"/>
        <v>So</v>
      </c>
      <c r="C177" s="1">
        <f t="shared" si="119"/>
        <v>7</v>
      </c>
      <c r="D177" s="3">
        <f t="shared" si="120"/>
        <v>46096</v>
      </c>
      <c r="E177" s="181"/>
      <c r="F177" s="182"/>
      <c r="G177" s="5">
        <f t="shared" si="114"/>
        <v>0</v>
      </c>
      <c r="H177" s="22">
        <f t="shared" si="115"/>
        <v>0</v>
      </c>
      <c r="I177" s="6">
        <f t="shared" si="121"/>
        <v>0</v>
      </c>
      <c r="J177" s="6">
        <f t="shared" si="122"/>
        <v>0</v>
      </c>
      <c r="K177" s="23">
        <f t="shared" si="123"/>
        <v>0</v>
      </c>
      <c r="L177" s="219"/>
      <c r="M177" s="220"/>
      <c r="N177" s="219"/>
      <c r="O177" s="220"/>
      <c r="P177" s="39">
        <f t="shared" si="124"/>
        <v>0</v>
      </c>
      <c r="Q177" s="71"/>
      <c r="R177" s="94">
        <f t="shared" si="116"/>
        <v>0</v>
      </c>
      <c r="S177" s="94" t="b">
        <f t="shared" si="125"/>
        <v>0</v>
      </c>
      <c r="T177" s="24"/>
      <c r="U177" s="25"/>
      <c r="V177" s="109">
        <v>0</v>
      </c>
      <c r="W177" s="114">
        <f t="shared" si="117"/>
        <v>46096</v>
      </c>
      <c r="X177" s="21" t="str">
        <f t="shared" si="126"/>
        <v>So</v>
      </c>
    </row>
    <row r="178" spans="2:32" x14ac:dyDescent="0.25">
      <c r="F178" s="183"/>
      <c r="G178" s="18"/>
      <c r="H178" s="18"/>
      <c r="I178" s="19"/>
      <c r="J178" s="19"/>
      <c r="K178" s="18"/>
      <c r="L178" s="18"/>
      <c r="M178" s="18"/>
      <c r="N178" s="20"/>
      <c r="O178" s="20"/>
      <c r="P178" s="18"/>
      <c r="Q178" s="145">
        <f>D171</f>
        <v>46090</v>
      </c>
      <c r="R178" s="145">
        <f>D172</f>
        <v>46091</v>
      </c>
      <c r="S178" s="145">
        <f>D173</f>
        <v>46092</v>
      </c>
      <c r="T178" s="145">
        <f>D174</f>
        <v>46093</v>
      </c>
      <c r="U178" s="145">
        <f>D175</f>
        <v>46094</v>
      </c>
      <c r="V178" s="145">
        <f>D176</f>
        <v>46095</v>
      </c>
      <c r="W178" s="145">
        <f>D177</f>
        <v>46096</v>
      </c>
      <c r="Z178" s="84" t="s">
        <v>208</v>
      </c>
      <c r="AA178" s="85"/>
      <c r="AB178" s="85"/>
      <c r="AC178" s="85"/>
      <c r="AD178" s="85"/>
      <c r="AE178" s="85"/>
      <c r="AF178" s="86"/>
    </row>
    <row r="179" spans="2:32" x14ac:dyDescent="0.25">
      <c r="D179" s="51" t="s">
        <v>30</v>
      </c>
      <c r="E179" s="184" t="s">
        <v>8</v>
      </c>
      <c r="F179" s="184" t="s">
        <v>97</v>
      </c>
      <c r="G179" s="8" t="s">
        <v>98</v>
      </c>
      <c r="H179" s="51" t="s">
        <v>9</v>
      </c>
      <c r="I179" s="8" t="s">
        <v>10</v>
      </c>
      <c r="J179" s="8" t="s">
        <v>11</v>
      </c>
      <c r="K179" s="8" t="s">
        <v>99</v>
      </c>
      <c r="L179" s="8" t="s">
        <v>100</v>
      </c>
      <c r="M179" s="8" t="s">
        <v>101</v>
      </c>
      <c r="N179" s="8" t="s">
        <v>102</v>
      </c>
      <c r="O179" s="8"/>
      <c r="P179" s="8" t="s">
        <v>90</v>
      </c>
      <c r="Q179" s="8" t="s">
        <v>60</v>
      </c>
      <c r="R179" s="8" t="s">
        <v>61</v>
      </c>
      <c r="S179" s="8" t="s">
        <v>62</v>
      </c>
      <c r="T179" s="8" t="s">
        <v>63</v>
      </c>
      <c r="U179" s="8" t="s">
        <v>64</v>
      </c>
      <c r="V179" s="8" t="s">
        <v>65</v>
      </c>
      <c r="W179" s="8" t="s">
        <v>66</v>
      </c>
      <c r="Z179" s="8" t="s">
        <v>60</v>
      </c>
      <c r="AA179" s="8" t="s">
        <v>61</v>
      </c>
      <c r="AB179" s="8" t="s">
        <v>62</v>
      </c>
      <c r="AC179" s="8" t="s">
        <v>63</v>
      </c>
      <c r="AD179" s="8" t="s">
        <v>64</v>
      </c>
      <c r="AE179" s="8" t="s">
        <v>65</v>
      </c>
      <c r="AF179" s="8" t="s">
        <v>66</v>
      </c>
    </row>
    <row r="180" spans="2:32" x14ac:dyDescent="0.25">
      <c r="D180" s="1" t="s">
        <v>95</v>
      </c>
      <c r="E180" s="179"/>
      <c r="F180" s="179"/>
      <c r="G180" s="1"/>
      <c r="H180" s="42"/>
      <c r="I180" s="42" t="str">
        <f>IF($D180="","",IF(VLOOKUP($D180,TaskNEU!$B$3:$D$36,3,FALSE)="","",VLOOKUP($D180,TaskNEU!$B$3:$D$36,3,FALSE)))</f>
        <v/>
      </c>
      <c r="J180" s="1"/>
      <c r="K180" s="1"/>
      <c r="L180" s="1"/>
      <c r="M180" s="1"/>
      <c r="N180" s="1"/>
      <c r="O180" s="1"/>
      <c r="P180" s="91">
        <f>SUM(Q180:W180)</f>
        <v>1</v>
      </c>
      <c r="Q180" s="91"/>
      <c r="R180" s="91"/>
      <c r="S180" s="91"/>
      <c r="T180" s="91">
        <v>1</v>
      </c>
      <c r="U180" s="91"/>
      <c r="V180" s="91"/>
      <c r="W180" s="91"/>
      <c r="Z180" s="123"/>
      <c r="AA180" s="123"/>
      <c r="AB180" s="123"/>
      <c r="AC180" s="123"/>
      <c r="AD180" s="123"/>
      <c r="AE180" s="123"/>
      <c r="AF180" s="123"/>
    </row>
    <row r="181" spans="2:32" x14ac:dyDescent="0.25">
      <c r="D181" s="1"/>
      <c r="E181" s="179"/>
      <c r="F181" s="179"/>
      <c r="G181" s="1"/>
      <c r="H181" s="42"/>
      <c r="I181" s="42"/>
      <c r="J181" s="92"/>
      <c r="K181" s="1"/>
      <c r="L181" s="1"/>
      <c r="M181" s="1"/>
      <c r="N181" s="1"/>
      <c r="O181" s="1"/>
      <c r="P181" s="91">
        <f>SUM(Q181:W181)</f>
        <v>1.5</v>
      </c>
      <c r="Q181" s="91">
        <v>1.5</v>
      </c>
      <c r="R181" s="91"/>
      <c r="S181" s="91"/>
      <c r="T181" s="91"/>
      <c r="U181" s="91"/>
      <c r="V181" s="91"/>
      <c r="W181" s="91"/>
      <c r="Z181" s="123"/>
      <c r="AA181" s="123"/>
      <c r="AB181" s="123"/>
      <c r="AC181" s="123"/>
      <c r="AD181" s="123"/>
      <c r="AE181" s="123"/>
      <c r="AF181" s="123"/>
    </row>
    <row r="182" spans="2:32" x14ac:dyDescent="0.25">
      <c r="D182" s="1"/>
      <c r="E182" s="184"/>
      <c r="F182" s="184"/>
      <c r="G182" s="8"/>
      <c r="H182" s="51"/>
      <c r="I182" s="8"/>
      <c r="J182" s="8"/>
      <c r="K182" s="8"/>
      <c r="L182" s="8"/>
      <c r="M182" s="8"/>
      <c r="N182" s="8"/>
      <c r="O182" s="8"/>
      <c r="P182" s="91">
        <f>SUM(Q182:W182)</f>
        <v>1.5</v>
      </c>
      <c r="Q182" s="41">
        <v>0</v>
      </c>
      <c r="R182" s="41">
        <v>0</v>
      </c>
      <c r="S182" s="41">
        <v>0</v>
      </c>
      <c r="T182" s="41">
        <v>1.5</v>
      </c>
      <c r="U182" s="41">
        <v>0</v>
      </c>
      <c r="V182" s="41">
        <v>0</v>
      </c>
      <c r="W182" s="41">
        <v>0</v>
      </c>
      <c r="Z182" s="124"/>
      <c r="AA182" s="124"/>
      <c r="AB182" s="124"/>
      <c r="AC182" s="124"/>
      <c r="AD182" s="124"/>
      <c r="AE182" s="124"/>
      <c r="AF182" s="124"/>
    </row>
    <row r="183" spans="2:32" x14ac:dyDescent="0.25">
      <c r="D183" s="1"/>
      <c r="E183" s="184"/>
      <c r="F183" s="184"/>
      <c r="G183" s="8"/>
      <c r="H183" s="51"/>
      <c r="I183" s="8"/>
      <c r="J183" s="8"/>
      <c r="K183" s="8"/>
      <c r="L183" s="8"/>
      <c r="M183" s="8"/>
      <c r="N183" s="8"/>
      <c r="O183" s="8"/>
      <c r="P183" s="91">
        <f t="shared" ref="P183:P192" si="127">SUM(Q183:W183)</f>
        <v>7.75</v>
      </c>
      <c r="Q183" s="41">
        <v>7.75</v>
      </c>
      <c r="R183" s="41">
        <v>0</v>
      </c>
      <c r="S183" s="41">
        <v>0</v>
      </c>
      <c r="T183" s="41">
        <v>0</v>
      </c>
      <c r="U183" s="41">
        <v>0</v>
      </c>
      <c r="V183" s="41">
        <v>0</v>
      </c>
      <c r="W183" s="41">
        <v>0</v>
      </c>
      <c r="Z183" s="124"/>
      <c r="AA183" s="124"/>
      <c r="AB183" s="124"/>
      <c r="AC183" s="124"/>
      <c r="AD183" s="124"/>
      <c r="AE183" s="124"/>
      <c r="AF183" s="124"/>
    </row>
    <row r="184" spans="2:32" x14ac:dyDescent="0.25">
      <c r="D184" s="1"/>
      <c r="E184" s="184"/>
      <c r="F184" s="184"/>
      <c r="G184" s="8"/>
      <c r="H184" s="51"/>
      <c r="I184" s="8"/>
      <c r="J184" s="8"/>
      <c r="K184" s="8"/>
      <c r="L184" s="8"/>
      <c r="M184" s="8"/>
      <c r="N184" s="8"/>
      <c r="O184" s="8"/>
      <c r="P184" s="91">
        <f t="shared" si="127"/>
        <v>19.5</v>
      </c>
      <c r="Q184" s="41">
        <v>0</v>
      </c>
      <c r="R184" s="41">
        <v>6</v>
      </c>
      <c r="S184" s="41">
        <v>8</v>
      </c>
      <c r="T184" s="41">
        <v>5.5</v>
      </c>
      <c r="U184" s="41">
        <v>0</v>
      </c>
      <c r="V184" s="41">
        <v>0</v>
      </c>
      <c r="W184" s="41">
        <v>0</v>
      </c>
      <c r="Z184" s="124"/>
      <c r="AA184" s="124"/>
      <c r="AB184" s="124"/>
      <c r="AC184" s="124"/>
      <c r="AD184" s="124"/>
      <c r="AE184" s="124"/>
      <c r="AF184" s="124"/>
    </row>
    <row r="185" spans="2:32" x14ac:dyDescent="0.25">
      <c r="D185" s="1"/>
      <c r="E185" s="184"/>
      <c r="F185" s="184"/>
      <c r="G185" s="8"/>
      <c r="H185" s="51"/>
      <c r="I185" s="8"/>
      <c r="J185" s="8"/>
      <c r="K185" s="8"/>
      <c r="L185" s="8"/>
      <c r="M185" s="8"/>
      <c r="N185" s="8"/>
      <c r="O185" s="8"/>
      <c r="P185" s="91">
        <f t="shared" si="127"/>
        <v>3.5</v>
      </c>
      <c r="Q185" s="41">
        <v>0</v>
      </c>
      <c r="R185" s="41">
        <v>3.5</v>
      </c>
      <c r="S185" s="41">
        <v>0</v>
      </c>
      <c r="T185" s="41">
        <v>0</v>
      </c>
      <c r="U185" s="41">
        <v>0</v>
      </c>
      <c r="V185" s="41">
        <v>0</v>
      </c>
      <c r="W185" s="41">
        <v>0</v>
      </c>
      <c r="Z185" s="124"/>
      <c r="AA185" s="124"/>
      <c r="AB185" s="124"/>
      <c r="AC185" s="124"/>
      <c r="AD185" s="124"/>
      <c r="AE185" s="124"/>
      <c r="AF185" s="124"/>
    </row>
    <row r="186" spans="2:32" x14ac:dyDescent="0.25">
      <c r="D186" s="1"/>
      <c r="E186" s="184" t="str">
        <f t="shared" ref="E186:E192" si="128">IF(D186="","","1010V07213")</f>
        <v/>
      </c>
      <c r="F186" s="184" t="str">
        <f t="shared" ref="F186:F192" si="129">IF(D186="","","1000")</f>
        <v/>
      </c>
      <c r="G186" s="8" t="str">
        <f t="shared" ref="G186:G192" si="130">IF(D186="","","310")</f>
        <v/>
      </c>
      <c r="H186" s="51"/>
      <c r="I186" s="8" t="str">
        <f>IF($D186="","",IF(VLOOKUP($D186,TaskNEU!$B$3:$D$36,3,FALSE)="","",VLOOKUP($D186,TaskNEU!$B$3:$D$36,3,FALSE)))</f>
        <v/>
      </c>
      <c r="J186" s="8" t="str">
        <f>IF($D186="","",IF(VLOOKUP($D186,TaskNEU!$B$10:$E$36,2,FALSE)="","",VLOOKUP($D186,TaskNEU!$B$10:$E$36,2,FALSE)))</f>
        <v/>
      </c>
      <c r="K186" s="8"/>
      <c r="L186" s="8" t="str">
        <f>IF($D186="","",IF(VLOOKUP($D186,TaskNEU!$B$10:$E$36,4,FALSE)="","",VLOOKUP($D186,TaskNEU!$B$10:$E$36,4,FALSE)))</f>
        <v/>
      </c>
      <c r="M186" s="8"/>
      <c r="N186" s="8" t="str">
        <f t="shared" ref="N186:N192" si="131">IF(D186="","","A238")</f>
        <v/>
      </c>
      <c r="O186" s="8"/>
      <c r="P186" s="91">
        <f t="shared" si="127"/>
        <v>0</v>
      </c>
      <c r="Q186" s="41">
        <v>0</v>
      </c>
      <c r="R186" s="41">
        <v>0</v>
      </c>
      <c r="S186" s="41">
        <v>0</v>
      </c>
      <c r="T186" s="41">
        <v>0</v>
      </c>
      <c r="U186" s="41">
        <v>0</v>
      </c>
      <c r="V186" s="41">
        <v>0</v>
      </c>
      <c r="W186" s="41">
        <v>0</v>
      </c>
      <c r="Z186" s="124"/>
      <c r="AA186" s="124"/>
      <c r="AB186" s="124"/>
      <c r="AC186" s="124"/>
      <c r="AD186" s="124"/>
      <c r="AE186" s="124"/>
      <c r="AF186" s="124"/>
    </row>
    <row r="187" spans="2:32" x14ac:dyDescent="0.25">
      <c r="D187" s="1"/>
      <c r="E187" s="184" t="str">
        <f t="shared" si="128"/>
        <v/>
      </c>
      <c r="F187" s="184" t="str">
        <f t="shared" si="129"/>
        <v/>
      </c>
      <c r="G187" s="8" t="str">
        <f t="shared" si="130"/>
        <v/>
      </c>
      <c r="H187" s="51"/>
      <c r="I187" s="8" t="str">
        <f>IF($D187="","",IF(VLOOKUP($D187,TaskNEU!$B$3:$D$36,3,FALSE)="","",VLOOKUP($D187,TaskNEU!$B$3:$D$36,3,FALSE)))</f>
        <v/>
      </c>
      <c r="J187" s="8" t="str">
        <f>IF($D187="","",IF(VLOOKUP($D187,TaskNEU!$B$10:$E$36,2,FALSE)="","",VLOOKUP($D187,TaskNEU!$B$10:$E$36,2,FALSE)))</f>
        <v/>
      </c>
      <c r="K187" s="8"/>
      <c r="L187" s="8" t="str">
        <f>IF($D187="","",IF(VLOOKUP($D187,TaskNEU!$B$10:$E$36,4,FALSE)="","",VLOOKUP($D187,TaskNEU!$B$10:$E$36,4,FALSE)))</f>
        <v/>
      </c>
      <c r="M187" s="8"/>
      <c r="N187" s="8" t="str">
        <f t="shared" si="131"/>
        <v/>
      </c>
      <c r="O187" s="8"/>
      <c r="P187" s="91">
        <f t="shared" si="127"/>
        <v>0</v>
      </c>
      <c r="Q187" s="41">
        <v>0</v>
      </c>
      <c r="R187" s="41">
        <v>0</v>
      </c>
      <c r="S187" s="41">
        <v>0</v>
      </c>
      <c r="T187" s="41">
        <v>0</v>
      </c>
      <c r="U187" s="41">
        <v>0</v>
      </c>
      <c r="V187" s="41">
        <v>0</v>
      </c>
      <c r="W187" s="41">
        <v>0</v>
      </c>
      <c r="Z187" s="124"/>
      <c r="AA187" s="124"/>
      <c r="AB187" s="124"/>
      <c r="AC187" s="124"/>
      <c r="AD187" s="124"/>
      <c r="AE187" s="124"/>
      <c r="AF187" s="124"/>
    </row>
    <row r="188" spans="2:32" x14ac:dyDescent="0.25">
      <c r="D188" s="1"/>
      <c r="E188" s="184" t="str">
        <f t="shared" si="128"/>
        <v/>
      </c>
      <c r="F188" s="184" t="str">
        <f t="shared" si="129"/>
        <v/>
      </c>
      <c r="G188" s="8" t="str">
        <f t="shared" si="130"/>
        <v/>
      </c>
      <c r="H188" s="51"/>
      <c r="I188" s="8" t="str">
        <f>IF($D188="","",IF(VLOOKUP($D188,TaskNEU!$B$3:$D$36,3,FALSE)="","",VLOOKUP($D188,TaskNEU!$B$3:$D$36,3,FALSE)))</f>
        <v/>
      </c>
      <c r="J188" s="8" t="str">
        <f>IF($D188="","",IF(VLOOKUP($D188,TaskNEU!$B$10:$E$36,2,FALSE)="","",VLOOKUP($D188,TaskNEU!$B$10:$E$36,2,FALSE)))</f>
        <v/>
      </c>
      <c r="K188" s="8"/>
      <c r="L188" s="8" t="str">
        <f>IF($D188="","",IF(VLOOKUP($D188,TaskNEU!$B$10:$E$36,4,FALSE)="","",VLOOKUP($D188,TaskNEU!$B$10:$E$36,4,FALSE)))</f>
        <v/>
      </c>
      <c r="M188" s="8"/>
      <c r="N188" s="8" t="str">
        <f t="shared" si="131"/>
        <v/>
      </c>
      <c r="O188" s="8"/>
      <c r="P188" s="91">
        <f t="shared" si="127"/>
        <v>0</v>
      </c>
      <c r="Q188" s="41">
        <v>0</v>
      </c>
      <c r="R188" s="41">
        <v>0</v>
      </c>
      <c r="S188" s="41">
        <v>0</v>
      </c>
      <c r="T188" s="41">
        <v>0</v>
      </c>
      <c r="U188" s="41">
        <v>0</v>
      </c>
      <c r="V188" s="41">
        <v>0</v>
      </c>
      <c r="W188" s="41">
        <v>0</v>
      </c>
      <c r="Z188" s="124"/>
      <c r="AA188" s="124"/>
      <c r="AB188" s="124"/>
      <c r="AC188" s="124"/>
      <c r="AD188" s="124"/>
      <c r="AE188" s="124"/>
      <c r="AF188" s="124"/>
    </row>
    <row r="189" spans="2:32" x14ac:dyDescent="0.25">
      <c r="D189" s="1"/>
      <c r="E189" s="184" t="str">
        <f t="shared" si="128"/>
        <v/>
      </c>
      <c r="F189" s="184" t="str">
        <f t="shared" si="129"/>
        <v/>
      </c>
      <c r="G189" s="8" t="str">
        <f t="shared" si="130"/>
        <v/>
      </c>
      <c r="H189" s="51"/>
      <c r="I189" s="8" t="str">
        <f>IF($D189="","",IF(VLOOKUP($D189,TaskNEU!$B$3:$D$36,3,FALSE)="","",VLOOKUP($D189,TaskNEU!$B$3:$D$36,3,FALSE)))</f>
        <v/>
      </c>
      <c r="J189" s="8" t="str">
        <f>IF($D189="","",IF(VLOOKUP($D189,TaskNEU!$B$10:$E$36,2,FALSE)="","",VLOOKUP($D189,TaskNEU!$B$10:$E$36,2,FALSE)))</f>
        <v/>
      </c>
      <c r="K189" s="8"/>
      <c r="L189" s="8" t="str">
        <f>IF($D189="","",IF(VLOOKUP($D189,TaskNEU!$B$10:$E$36,4,FALSE)="","",VLOOKUP($D189,TaskNEU!$B$10:$E$36,4,FALSE)))</f>
        <v/>
      </c>
      <c r="M189" s="8"/>
      <c r="N189" s="8" t="str">
        <f t="shared" si="131"/>
        <v/>
      </c>
      <c r="O189" s="8"/>
      <c r="P189" s="91">
        <f t="shared" si="127"/>
        <v>0</v>
      </c>
      <c r="Q189" s="41">
        <v>0</v>
      </c>
      <c r="R189" s="41">
        <v>0</v>
      </c>
      <c r="S189" s="41">
        <v>0</v>
      </c>
      <c r="T189" s="41">
        <v>0</v>
      </c>
      <c r="U189" s="41">
        <v>0</v>
      </c>
      <c r="V189" s="41">
        <v>0</v>
      </c>
      <c r="W189" s="41">
        <v>0</v>
      </c>
      <c r="Z189" s="124"/>
      <c r="AA189" s="124"/>
      <c r="AB189" s="124"/>
      <c r="AC189" s="124"/>
      <c r="AD189" s="124"/>
      <c r="AE189" s="124"/>
      <c r="AF189" s="124"/>
    </row>
    <row r="190" spans="2:32" x14ac:dyDescent="0.25">
      <c r="D190" s="1"/>
      <c r="E190" s="184" t="str">
        <f t="shared" si="128"/>
        <v/>
      </c>
      <c r="F190" s="184" t="str">
        <f t="shared" si="129"/>
        <v/>
      </c>
      <c r="G190" s="8" t="str">
        <f t="shared" si="130"/>
        <v/>
      </c>
      <c r="H190" s="51"/>
      <c r="I190" s="8" t="str">
        <f>IF($D190="","",IF(VLOOKUP($D190,TaskNEU!$B$3:$D$36,3,FALSE)="","",VLOOKUP($D190,TaskNEU!$B$3:$D$36,3,FALSE)))</f>
        <v/>
      </c>
      <c r="J190" s="8" t="str">
        <f>IF($D190="","",IF(VLOOKUP($D190,TaskNEU!$B$10:$E$36,2,FALSE)="","",VLOOKUP($D190,TaskNEU!$B$10:$E$36,2,FALSE)))</f>
        <v/>
      </c>
      <c r="K190" s="8"/>
      <c r="L190" s="8" t="str">
        <f>IF($D190="","",IF(VLOOKUP($D190,TaskNEU!$B$10:$E$36,4,FALSE)="","",VLOOKUP($D190,TaskNEU!$B$10:$E$36,4,FALSE)))</f>
        <v/>
      </c>
      <c r="M190" s="8"/>
      <c r="N190" s="8" t="str">
        <f t="shared" si="131"/>
        <v/>
      </c>
      <c r="O190" s="8"/>
      <c r="P190" s="91">
        <f t="shared" si="127"/>
        <v>0</v>
      </c>
      <c r="Q190" s="41">
        <v>0</v>
      </c>
      <c r="R190" s="41">
        <v>0</v>
      </c>
      <c r="S190" s="41">
        <v>0</v>
      </c>
      <c r="T190" s="41">
        <v>0</v>
      </c>
      <c r="U190" s="41">
        <v>0</v>
      </c>
      <c r="V190" s="41">
        <v>0</v>
      </c>
      <c r="W190" s="41">
        <v>0</v>
      </c>
      <c r="Z190" s="124"/>
      <c r="AA190" s="124"/>
      <c r="AB190" s="124"/>
      <c r="AC190" s="124"/>
      <c r="AD190" s="124"/>
      <c r="AE190" s="124"/>
      <c r="AF190" s="124"/>
    </row>
    <row r="191" spans="2:32" x14ac:dyDescent="0.25">
      <c r="D191" s="1"/>
      <c r="E191" s="184" t="str">
        <f t="shared" si="128"/>
        <v/>
      </c>
      <c r="F191" s="184" t="str">
        <f t="shared" si="129"/>
        <v/>
      </c>
      <c r="G191" s="8" t="str">
        <f t="shared" si="130"/>
        <v/>
      </c>
      <c r="H191" s="51"/>
      <c r="I191" s="8" t="str">
        <f>IF($D191="","",IF(VLOOKUP($D191,TaskNEU!$B$3:$D$36,3,FALSE)="","",VLOOKUP($D191,TaskNEU!$B$3:$D$36,3,FALSE)))</f>
        <v/>
      </c>
      <c r="J191" s="8" t="str">
        <f>IF($D191="","",IF(VLOOKUP($D191,TaskNEU!$B$10:$E$36,2,FALSE)="","",VLOOKUP($D191,TaskNEU!$B$10:$E$36,2,FALSE)))</f>
        <v/>
      </c>
      <c r="K191" s="8"/>
      <c r="L191" s="8" t="str">
        <f>IF($D191="","",IF(VLOOKUP($D191,TaskNEU!$B$10:$E$36,4,FALSE)="","",VLOOKUP($D191,TaskNEU!$B$10:$E$36,4,FALSE)))</f>
        <v/>
      </c>
      <c r="M191" s="8"/>
      <c r="N191" s="8" t="str">
        <f t="shared" si="131"/>
        <v/>
      </c>
      <c r="O191" s="8"/>
      <c r="P191" s="91">
        <f t="shared" si="127"/>
        <v>0</v>
      </c>
      <c r="Q191" s="41">
        <v>0</v>
      </c>
      <c r="R191" s="41">
        <v>0</v>
      </c>
      <c r="S191" s="41">
        <v>0</v>
      </c>
      <c r="T191" s="41">
        <v>0</v>
      </c>
      <c r="U191" s="41">
        <v>0</v>
      </c>
      <c r="V191" s="41">
        <v>0</v>
      </c>
      <c r="W191" s="41">
        <v>0</v>
      </c>
      <c r="Z191" s="124"/>
      <c r="AA191" s="124"/>
      <c r="AB191" s="124"/>
      <c r="AC191" s="124"/>
      <c r="AD191" s="124"/>
      <c r="AE191" s="124"/>
      <c r="AF191" s="124"/>
    </row>
    <row r="192" spans="2:32" x14ac:dyDescent="0.25">
      <c r="D192" s="1"/>
      <c r="E192" s="184" t="str">
        <f t="shared" si="128"/>
        <v/>
      </c>
      <c r="F192" s="184" t="str">
        <f t="shared" si="129"/>
        <v/>
      </c>
      <c r="G192" s="8" t="str">
        <f t="shared" si="130"/>
        <v/>
      </c>
      <c r="H192" s="51"/>
      <c r="I192" s="8" t="str">
        <f>IF($D192="","",IF(VLOOKUP($D192,TaskNEU!$B$3:$D$36,3,FALSE)="","",VLOOKUP($D192,TaskNEU!$B$3:$D$36,3,FALSE)))</f>
        <v/>
      </c>
      <c r="J192" s="8" t="str">
        <f>IF($D192="","",IF(VLOOKUP($D192,TaskNEU!$B$10:$E$36,2,FALSE)="","",VLOOKUP($D192,TaskNEU!$B$10:$E$36,2,FALSE)))</f>
        <v/>
      </c>
      <c r="K192" s="8"/>
      <c r="L192" s="8" t="str">
        <f>IF($D192="","",IF(VLOOKUP($D192,TaskNEU!$B$10:$E$36,4,FALSE)="","",VLOOKUP($D192,TaskNEU!$B$10:$E$36,4,FALSE)))</f>
        <v/>
      </c>
      <c r="M192" s="8"/>
      <c r="N192" s="8" t="str">
        <f t="shared" si="131"/>
        <v/>
      </c>
      <c r="O192" s="8"/>
      <c r="P192" s="91">
        <f t="shared" si="127"/>
        <v>0</v>
      </c>
      <c r="Q192" s="41">
        <v>0</v>
      </c>
      <c r="R192" s="41">
        <v>0</v>
      </c>
      <c r="S192" s="41">
        <v>0</v>
      </c>
      <c r="T192" s="41">
        <v>0</v>
      </c>
      <c r="U192" s="41">
        <v>0</v>
      </c>
      <c r="V192" s="41">
        <v>0</v>
      </c>
      <c r="W192" s="41">
        <v>0</v>
      </c>
      <c r="Z192" s="124"/>
      <c r="AA192" s="124"/>
      <c r="AB192" s="124"/>
      <c r="AC192" s="124"/>
      <c r="AD192" s="124"/>
      <c r="AE192" s="124"/>
      <c r="AF192" s="124"/>
    </row>
    <row r="193" spans="2:32" ht="15.75" thickBot="1" x14ac:dyDescent="0.3">
      <c r="D193" s="56"/>
      <c r="E193" s="186"/>
      <c r="F193" s="186"/>
      <c r="G193" s="56"/>
      <c r="H193" s="56"/>
      <c r="I193" s="56"/>
      <c r="J193" s="56"/>
      <c r="K193" s="56"/>
      <c r="L193" s="56"/>
      <c r="M193" s="56"/>
      <c r="N193" s="56"/>
      <c r="O193" s="56"/>
      <c r="P193" s="73">
        <f>SUM(Q180:W192)</f>
        <v>34.75</v>
      </c>
      <c r="Q193" s="72">
        <f>SUM(Q180:Q192)</f>
        <v>9.25</v>
      </c>
      <c r="R193" s="72">
        <f t="shared" ref="R193:W193" si="132">SUM(R180:R192)</f>
        <v>9.5</v>
      </c>
      <c r="S193" s="72">
        <f t="shared" si="132"/>
        <v>8</v>
      </c>
      <c r="T193" s="72">
        <f t="shared" si="132"/>
        <v>8</v>
      </c>
      <c r="U193" s="72">
        <f t="shared" si="132"/>
        <v>0</v>
      </c>
      <c r="V193" s="72">
        <f t="shared" si="132"/>
        <v>0</v>
      </c>
      <c r="W193" s="72">
        <f t="shared" si="132"/>
        <v>0</v>
      </c>
      <c r="X193" s="118"/>
      <c r="Y193" s="56"/>
      <c r="Z193" s="56"/>
      <c r="AA193" s="56"/>
      <c r="AB193" s="56"/>
      <c r="AC193" s="56"/>
      <c r="AD193" s="56"/>
      <c r="AE193" s="56"/>
      <c r="AF193" s="56"/>
    </row>
    <row r="194" spans="2:32" x14ac:dyDescent="0.25">
      <c r="D194" s="55"/>
      <c r="E194" s="178"/>
      <c r="F194" s="178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5"/>
      <c r="W194" s="55"/>
    </row>
    <row r="195" spans="2:32" x14ac:dyDescent="0.25">
      <c r="B195" s="57"/>
      <c r="C195" s="58"/>
      <c r="D195" s="1" t="s">
        <v>40</v>
      </c>
      <c r="E195" s="179">
        <f>E168+1</f>
        <v>12</v>
      </c>
      <c r="F195" s="179" t="s">
        <v>0</v>
      </c>
      <c r="G195" s="2">
        <f>SUM(I198:I204)</f>
        <v>1.3229166666666667</v>
      </c>
      <c r="H195" s="221" t="s">
        <v>1</v>
      </c>
      <c r="I195" s="222"/>
      <c r="J195" s="2">
        <f>SUM(J198:J204)</f>
        <v>1.3229166666666667</v>
      </c>
      <c r="K195" s="67"/>
      <c r="L195" s="68"/>
      <c r="M195" s="35"/>
      <c r="N195" s="40" t="s">
        <v>57</v>
      </c>
      <c r="O195" s="8"/>
    </row>
    <row r="196" spans="2:32" x14ac:dyDescent="0.25">
      <c r="B196" s="59"/>
      <c r="C196" s="60"/>
      <c r="D196" s="1"/>
      <c r="E196" s="179"/>
      <c r="F196" s="180" t="s">
        <v>48</v>
      </c>
      <c r="G196" s="2">
        <f>SUM(Q198:Q204)/24</f>
        <v>0</v>
      </c>
      <c r="H196" s="52"/>
      <c r="I196" s="21" t="s">
        <v>58</v>
      </c>
      <c r="J196" s="2">
        <f>P220/24</f>
        <v>0</v>
      </c>
      <c r="K196" s="67"/>
      <c r="L196" s="69"/>
      <c r="M196" s="7"/>
      <c r="O196" s="8" t="s">
        <v>191</v>
      </c>
      <c r="Q196" s="93">
        <f>SUM(Q198:Q204)</f>
        <v>0</v>
      </c>
      <c r="R196" s="93">
        <f>SUM(R198:R204)</f>
        <v>1</v>
      </c>
      <c r="S196" s="93">
        <f>SUM(S198:S204)</f>
        <v>9.25</v>
      </c>
      <c r="T196" s="110" t="s">
        <v>188</v>
      </c>
      <c r="U196" s="58"/>
      <c r="V196" s="112" t="s">
        <v>189</v>
      </c>
    </row>
    <row r="197" spans="2:32" x14ac:dyDescent="0.25">
      <c r="B197" s="61"/>
      <c r="C197" s="62"/>
      <c r="D197" s="1" t="s">
        <v>2</v>
      </c>
      <c r="E197" s="179" t="s">
        <v>3</v>
      </c>
      <c r="F197" s="179" t="s">
        <v>4</v>
      </c>
      <c r="G197" s="1" t="s">
        <v>5</v>
      </c>
      <c r="H197" s="52" t="s">
        <v>6</v>
      </c>
      <c r="I197" s="52" t="s">
        <v>7</v>
      </c>
      <c r="J197" s="52" t="s">
        <v>45</v>
      </c>
      <c r="K197" s="1" t="s">
        <v>44</v>
      </c>
      <c r="L197" s="219" t="s">
        <v>21</v>
      </c>
      <c r="M197" s="220"/>
      <c r="N197" s="219" t="s">
        <v>18</v>
      </c>
      <c r="O197" s="220"/>
      <c r="P197" s="42" t="s">
        <v>56</v>
      </c>
      <c r="Q197" s="93" t="s">
        <v>138</v>
      </c>
      <c r="R197" s="52" t="s">
        <v>139</v>
      </c>
      <c r="S197" s="52" t="s">
        <v>140</v>
      </c>
      <c r="T197" s="111" t="s">
        <v>187</v>
      </c>
      <c r="U197" s="62"/>
      <c r="V197" s="113" t="s">
        <v>118</v>
      </c>
    </row>
    <row r="198" spans="2:32" x14ac:dyDescent="0.25">
      <c r="B198" s="21" t="str">
        <f>IF(C198=1,"Mo",IF(C198=2,"Di",IF(C198=3,"Mi",IF(C198=4,"Do",IF(C198=5,"Fr",IF(C198=6,"Sa",IF(C198=7,"So","")))))))</f>
        <v>Mo</v>
      </c>
      <c r="C198" s="1">
        <f>WEEKDAY(D198,2)</f>
        <v>1</v>
      </c>
      <c r="D198" s="3">
        <f>D171+7</f>
        <v>46097</v>
      </c>
      <c r="E198" s="181"/>
      <c r="F198" s="182"/>
      <c r="G198" s="5">
        <f t="shared" ref="G198:G204" si="133">IF(AND(H198&gt;6/24,H198&lt;=9.5/24),0.5/24,IF(H198&gt;9.5/24,0.75/24,0))</f>
        <v>0</v>
      </c>
      <c r="H198" s="22">
        <f t="shared" ref="H198:H204" si="134">((IF(E198*24&gt;F198*24,F198*24+(24-E198*24),F198*24-E198*24))/24)-(V198/24)</f>
        <v>0</v>
      </c>
      <c r="I198" s="6">
        <f>H198-G198</f>
        <v>0</v>
      </c>
      <c r="J198" s="6">
        <f>IF(C198&lt;6,I198,0/24)</f>
        <v>0</v>
      </c>
      <c r="K198" s="23">
        <f>IF(C198&lt;5,((0.5+8.5+(E198*24))/24),IF(C198=5,((6+(E198*24))/24),))</f>
        <v>0.375</v>
      </c>
      <c r="L198" s="219"/>
      <c r="M198" s="220"/>
      <c r="N198" s="219" t="s">
        <v>29</v>
      </c>
      <c r="O198" s="220"/>
      <c r="P198" s="39">
        <f>IF(I198="","",I198*24)</f>
        <v>0</v>
      </c>
      <c r="Q198" s="71"/>
      <c r="R198" s="94" t="b">
        <f t="shared" ref="R198:R204" si="135">IF(C198&lt;5,(IF(P198&gt;8.5,P198-8.5)),IF(C198=5,(IF(P198&gt;6,P198-6)),IF(C198&gt;5,P198)))</f>
        <v>0</v>
      </c>
      <c r="S198" s="94">
        <f>IF(C198&lt;5,(IF(P198&lt;8.5,8.5-P198)),IF(C198=5,(IF(P198&lt;6,6-P198))))</f>
        <v>8.5</v>
      </c>
      <c r="T198" s="24"/>
      <c r="U198" s="25"/>
      <c r="V198" s="109">
        <v>0</v>
      </c>
      <c r="W198" s="114">
        <f t="shared" ref="W198:W204" si="136">D198</f>
        <v>46097</v>
      </c>
      <c r="X198" s="21" t="str">
        <f>B198</f>
        <v>Mo</v>
      </c>
    </row>
    <row r="199" spans="2:32" x14ac:dyDescent="0.25">
      <c r="B199" s="21" t="str">
        <f t="shared" ref="B199:B204" si="137">IF(C199=1,"Mo",IF(C199=2,"Di",IF(C199=3,"Mi",IF(C199=4,"Do",IF(C199=5,"Fr",IF(C199=6,"Sa",IF(C199=7,"So","")))))))</f>
        <v>Di</v>
      </c>
      <c r="C199" s="1">
        <f>WEEKDAY(D199,2)</f>
        <v>2</v>
      </c>
      <c r="D199" s="3">
        <f t="shared" ref="D199:D204" si="138">D198+1</f>
        <v>46098</v>
      </c>
      <c r="E199" s="181">
        <v>0.34375</v>
      </c>
      <c r="F199" s="182">
        <v>0.77083333333333337</v>
      </c>
      <c r="G199" s="5">
        <f t="shared" si="133"/>
        <v>3.125E-2</v>
      </c>
      <c r="H199" s="22">
        <f t="shared" si="134"/>
        <v>0.42708333333333331</v>
      </c>
      <c r="I199" s="6">
        <f t="shared" ref="I199:I204" si="139">H199-G199</f>
        <v>0.39583333333333331</v>
      </c>
      <c r="J199" s="6">
        <f t="shared" ref="J199:J204" si="140">IF(C199&lt;6,I199,0/24)</f>
        <v>0.39583333333333331</v>
      </c>
      <c r="K199" s="23">
        <f t="shared" ref="K199:K204" si="141">IF(C199&lt;5,((0.5+8.5+(E199*24))/24),IF(C199=5,((6+(E199*24))/24),))</f>
        <v>0.71875</v>
      </c>
      <c r="L199" s="219"/>
      <c r="M199" s="220"/>
      <c r="N199" s="219"/>
      <c r="O199" s="220"/>
      <c r="P199" s="39">
        <f t="shared" ref="P199:P204" si="142">IF(I199="","",I199*24)</f>
        <v>9.5</v>
      </c>
      <c r="Q199" s="71"/>
      <c r="R199" s="94">
        <f t="shared" si="135"/>
        <v>1</v>
      </c>
      <c r="S199" s="94" t="b">
        <f t="shared" ref="S199:S204" si="143">IF(C199&lt;5,(IF(P199&lt;8.5,8.5-P199)),IF(C199=5,(IF(P199&lt;6,6-P199))))</f>
        <v>0</v>
      </c>
      <c r="T199" s="24"/>
      <c r="U199" s="25"/>
      <c r="V199" s="109">
        <v>0</v>
      </c>
      <c r="W199" s="114">
        <f t="shared" si="136"/>
        <v>46098</v>
      </c>
      <c r="X199" s="21" t="str">
        <f t="shared" ref="X199:X204" si="144">B199</f>
        <v>Di</v>
      </c>
    </row>
    <row r="200" spans="2:32" x14ac:dyDescent="0.25">
      <c r="B200" s="21" t="str">
        <f t="shared" si="137"/>
        <v>Mi</v>
      </c>
      <c r="C200" s="1">
        <f t="shared" ref="C200:C204" si="145">WEEKDAY(D200,2)</f>
        <v>3</v>
      </c>
      <c r="D200" s="3">
        <f t="shared" si="138"/>
        <v>46099</v>
      </c>
      <c r="E200" s="181">
        <v>0.32291666666666669</v>
      </c>
      <c r="F200" s="182">
        <v>0.67708333333333337</v>
      </c>
      <c r="G200" s="5">
        <f t="shared" si="133"/>
        <v>2.0833333333333332E-2</v>
      </c>
      <c r="H200" s="22">
        <f t="shared" si="134"/>
        <v>0.35416666666666669</v>
      </c>
      <c r="I200" s="6">
        <f t="shared" si="139"/>
        <v>0.33333333333333337</v>
      </c>
      <c r="J200" s="6">
        <f t="shared" si="140"/>
        <v>0.33333333333333337</v>
      </c>
      <c r="K200" s="23">
        <f t="shared" si="141"/>
        <v>0.69791666666666663</v>
      </c>
      <c r="L200" s="219"/>
      <c r="M200" s="220"/>
      <c r="N200" s="219"/>
      <c r="O200" s="220"/>
      <c r="P200" s="39">
        <f t="shared" si="142"/>
        <v>8</v>
      </c>
      <c r="Q200" s="71"/>
      <c r="R200" s="94" t="b">
        <f t="shared" si="135"/>
        <v>0</v>
      </c>
      <c r="S200" s="94">
        <f t="shared" si="143"/>
        <v>0.5</v>
      </c>
      <c r="T200" s="24"/>
      <c r="U200" s="25"/>
      <c r="V200" s="109">
        <v>0</v>
      </c>
      <c r="W200" s="114">
        <f t="shared" si="136"/>
        <v>46099</v>
      </c>
      <c r="X200" s="21" t="str">
        <f t="shared" si="144"/>
        <v>Mi</v>
      </c>
    </row>
    <row r="201" spans="2:32" x14ac:dyDescent="0.25">
      <c r="B201" s="21" t="str">
        <f t="shared" si="137"/>
        <v>Do</v>
      </c>
      <c r="C201" s="1">
        <f t="shared" si="145"/>
        <v>4</v>
      </c>
      <c r="D201" s="3">
        <f t="shared" si="138"/>
        <v>46100</v>
      </c>
      <c r="E201" s="181">
        <v>0.34375</v>
      </c>
      <c r="F201" s="182">
        <v>0.70833333333333337</v>
      </c>
      <c r="G201" s="5">
        <f t="shared" si="133"/>
        <v>2.0833333333333332E-2</v>
      </c>
      <c r="H201" s="22">
        <f t="shared" si="134"/>
        <v>0.36458333333333331</v>
      </c>
      <c r="I201" s="6">
        <f t="shared" si="139"/>
        <v>0.34375</v>
      </c>
      <c r="J201" s="6">
        <f t="shared" si="140"/>
        <v>0.34375</v>
      </c>
      <c r="K201" s="23">
        <f t="shared" si="141"/>
        <v>0.71875</v>
      </c>
      <c r="L201" s="219"/>
      <c r="M201" s="220"/>
      <c r="N201" s="219"/>
      <c r="O201" s="220"/>
      <c r="P201" s="39">
        <f t="shared" si="142"/>
        <v>8.25</v>
      </c>
      <c r="Q201" s="71"/>
      <c r="R201" s="94" t="b">
        <f t="shared" si="135"/>
        <v>0</v>
      </c>
      <c r="S201" s="94">
        <f t="shared" si="143"/>
        <v>0.25</v>
      </c>
      <c r="T201" s="24"/>
      <c r="U201" s="25"/>
      <c r="V201" s="109">
        <v>0</v>
      </c>
      <c r="W201" s="114">
        <f t="shared" si="136"/>
        <v>46100</v>
      </c>
      <c r="X201" s="21" t="str">
        <f t="shared" si="144"/>
        <v>Do</v>
      </c>
    </row>
    <row r="202" spans="2:32" x14ac:dyDescent="0.25">
      <c r="B202" s="21" t="str">
        <f t="shared" si="137"/>
        <v>Fr</v>
      </c>
      <c r="C202" s="1">
        <f t="shared" si="145"/>
        <v>5</v>
      </c>
      <c r="D202" s="3">
        <f t="shared" si="138"/>
        <v>46101</v>
      </c>
      <c r="E202" s="181">
        <v>0.33333333333333331</v>
      </c>
      <c r="F202" s="182">
        <v>0.58333333333333337</v>
      </c>
      <c r="G202" s="5">
        <f t="shared" si="133"/>
        <v>0</v>
      </c>
      <c r="H202" s="22">
        <f t="shared" si="134"/>
        <v>0.25</v>
      </c>
      <c r="I202" s="6">
        <f t="shared" si="139"/>
        <v>0.25</v>
      </c>
      <c r="J202" s="6">
        <f t="shared" si="140"/>
        <v>0.25</v>
      </c>
      <c r="K202" s="23">
        <f t="shared" si="141"/>
        <v>0.58333333333333337</v>
      </c>
      <c r="L202" s="219"/>
      <c r="M202" s="220"/>
      <c r="N202" s="219"/>
      <c r="O202" s="220"/>
      <c r="P202" s="39">
        <f t="shared" si="142"/>
        <v>6</v>
      </c>
      <c r="Q202" s="71"/>
      <c r="R202" s="94" t="b">
        <f t="shared" si="135"/>
        <v>0</v>
      </c>
      <c r="S202" s="94" t="b">
        <f t="shared" si="143"/>
        <v>0</v>
      </c>
      <c r="T202" s="24"/>
      <c r="U202" s="25"/>
      <c r="V202" s="109">
        <v>0</v>
      </c>
      <c r="W202" s="114">
        <f t="shared" si="136"/>
        <v>46101</v>
      </c>
      <c r="X202" s="21" t="str">
        <f t="shared" si="144"/>
        <v>Fr</v>
      </c>
    </row>
    <row r="203" spans="2:32" x14ac:dyDescent="0.25">
      <c r="B203" s="21" t="str">
        <f t="shared" si="137"/>
        <v>Sa</v>
      </c>
      <c r="C203" s="1">
        <f t="shared" si="145"/>
        <v>6</v>
      </c>
      <c r="D203" s="3">
        <f t="shared" si="138"/>
        <v>46102</v>
      </c>
      <c r="E203" s="181"/>
      <c r="F203" s="182"/>
      <c r="G203" s="5">
        <f t="shared" si="133"/>
        <v>0</v>
      </c>
      <c r="H203" s="22">
        <f t="shared" si="134"/>
        <v>0</v>
      </c>
      <c r="I203" s="6">
        <f t="shared" si="139"/>
        <v>0</v>
      </c>
      <c r="J203" s="6">
        <f t="shared" si="140"/>
        <v>0</v>
      </c>
      <c r="K203" s="23">
        <f t="shared" si="141"/>
        <v>0</v>
      </c>
      <c r="L203" s="219"/>
      <c r="M203" s="220"/>
      <c r="N203" s="219"/>
      <c r="O203" s="220"/>
      <c r="P203" s="39">
        <f t="shared" si="142"/>
        <v>0</v>
      </c>
      <c r="Q203" s="71"/>
      <c r="R203" s="94">
        <f t="shared" si="135"/>
        <v>0</v>
      </c>
      <c r="S203" s="94" t="b">
        <f t="shared" si="143"/>
        <v>0</v>
      </c>
      <c r="T203" s="24"/>
      <c r="U203" s="25"/>
      <c r="V203" s="109">
        <v>0</v>
      </c>
      <c r="W203" s="114">
        <f t="shared" si="136"/>
        <v>46102</v>
      </c>
      <c r="X203" s="21" t="str">
        <f t="shared" si="144"/>
        <v>Sa</v>
      </c>
    </row>
    <row r="204" spans="2:32" x14ac:dyDescent="0.25">
      <c r="B204" s="21" t="str">
        <f t="shared" si="137"/>
        <v>So</v>
      </c>
      <c r="C204" s="1">
        <f t="shared" si="145"/>
        <v>7</v>
      </c>
      <c r="D204" s="3">
        <f t="shared" si="138"/>
        <v>46103</v>
      </c>
      <c r="E204" s="181"/>
      <c r="F204" s="182"/>
      <c r="G204" s="5">
        <f t="shared" si="133"/>
        <v>0</v>
      </c>
      <c r="H204" s="22">
        <f t="shared" si="134"/>
        <v>0</v>
      </c>
      <c r="I204" s="6">
        <f t="shared" si="139"/>
        <v>0</v>
      </c>
      <c r="J204" s="6">
        <f t="shared" si="140"/>
        <v>0</v>
      </c>
      <c r="K204" s="23">
        <f t="shared" si="141"/>
        <v>0</v>
      </c>
      <c r="L204" s="219"/>
      <c r="M204" s="220"/>
      <c r="N204" s="219"/>
      <c r="O204" s="220"/>
      <c r="P204" s="39">
        <f t="shared" si="142"/>
        <v>0</v>
      </c>
      <c r="Q204" s="71"/>
      <c r="R204" s="94">
        <f t="shared" si="135"/>
        <v>0</v>
      </c>
      <c r="S204" s="94" t="b">
        <f t="shared" si="143"/>
        <v>0</v>
      </c>
      <c r="T204" s="24"/>
      <c r="U204" s="25"/>
      <c r="V204" s="109">
        <v>0</v>
      </c>
      <c r="W204" s="114">
        <f t="shared" si="136"/>
        <v>46103</v>
      </c>
      <c r="X204" s="21" t="str">
        <f t="shared" si="144"/>
        <v>So</v>
      </c>
    </row>
    <row r="205" spans="2:32" x14ac:dyDescent="0.25">
      <c r="F205" s="183"/>
      <c r="G205" s="18"/>
      <c r="H205" s="18"/>
      <c r="I205" s="19"/>
      <c r="J205" s="19"/>
      <c r="K205" s="18"/>
      <c r="L205" s="18"/>
      <c r="M205" s="18"/>
      <c r="N205" s="20"/>
      <c r="O205" s="20"/>
      <c r="P205" s="18"/>
      <c r="Q205" s="145">
        <f>D198</f>
        <v>46097</v>
      </c>
      <c r="R205" s="145">
        <f>D199</f>
        <v>46098</v>
      </c>
      <c r="S205" s="145">
        <f>D200</f>
        <v>46099</v>
      </c>
      <c r="T205" s="145">
        <f>D201</f>
        <v>46100</v>
      </c>
      <c r="U205" s="145">
        <f>D202</f>
        <v>46101</v>
      </c>
      <c r="V205" s="145">
        <f>D203</f>
        <v>46102</v>
      </c>
      <c r="W205" s="145">
        <f>D204</f>
        <v>46103</v>
      </c>
      <c r="Z205" s="84" t="s">
        <v>208</v>
      </c>
      <c r="AA205" s="85"/>
      <c r="AB205" s="85"/>
      <c r="AC205" s="85"/>
      <c r="AD205" s="85"/>
      <c r="AE205" s="85"/>
      <c r="AF205" s="86"/>
    </row>
    <row r="206" spans="2:32" x14ac:dyDescent="0.25">
      <c r="D206" s="51" t="s">
        <v>30</v>
      </c>
      <c r="E206" s="184" t="s">
        <v>8</v>
      </c>
      <c r="F206" s="184" t="s">
        <v>97</v>
      </c>
      <c r="G206" s="8" t="s">
        <v>98</v>
      </c>
      <c r="H206" s="51" t="s">
        <v>9</v>
      </c>
      <c r="I206" s="8" t="s">
        <v>10</v>
      </c>
      <c r="J206" s="8" t="s">
        <v>11</v>
      </c>
      <c r="K206" s="8" t="s">
        <v>99</v>
      </c>
      <c r="L206" s="8" t="s">
        <v>100</v>
      </c>
      <c r="M206" s="8" t="s">
        <v>101</v>
      </c>
      <c r="N206" s="8" t="s">
        <v>102</v>
      </c>
      <c r="O206" s="8"/>
      <c r="P206" s="8" t="s">
        <v>90</v>
      </c>
      <c r="Q206" s="8" t="s">
        <v>60</v>
      </c>
      <c r="R206" s="8" t="s">
        <v>61</v>
      </c>
      <c r="S206" s="8" t="s">
        <v>62</v>
      </c>
      <c r="T206" s="8" t="s">
        <v>63</v>
      </c>
      <c r="U206" s="8" t="s">
        <v>64</v>
      </c>
      <c r="V206" s="8" t="s">
        <v>65</v>
      </c>
      <c r="W206" s="8" t="s">
        <v>66</v>
      </c>
      <c r="Z206" s="8" t="s">
        <v>60</v>
      </c>
      <c r="AA206" s="8" t="s">
        <v>61</v>
      </c>
      <c r="AB206" s="8" t="s">
        <v>62</v>
      </c>
      <c r="AC206" s="8" t="s">
        <v>63</v>
      </c>
      <c r="AD206" s="8" t="s">
        <v>64</v>
      </c>
      <c r="AE206" s="8" t="s">
        <v>65</v>
      </c>
      <c r="AF206" s="8" t="s">
        <v>66</v>
      </c>
    </row>
    <row r="207" spans="2:32" x14ac:dyDescent="0.25">
      <c r="D207" s="1" t="s">
        <v>95</v>
      </c>
      <c r="E207" s="179"/>
      <c r="F207" s="179"/>
      <c r="G207" s="1"/>
      <c r="H207" s="42"/>
      <c r="I207" s="42" t="str">
        <f>IF($D207="","",IF(VLOOKUP($D207,TaskNEU!$B$3:$D$36,3,FALSE)="","",VLOOKUP($D207,TaskNEU!$B$3:$D$36,3,FALSE)))</f>
        <v/>
      </c>
      <c r="J207" s="1"/>
      <c r="K207" s="1"/>
      <c r="L207" s="1"/>
      <c r="M207" s="1"/>
      <c r="N207" s="1"/>
      <c r="O207" s="1"/>
      <c r="P207" s="91">
        <f>SUM(Q207:W207)</f>
        <v>0</v>
      </c>
      <c r="Q207" s="91"/>
      <c r="R207" s="91"/>
      <c r="S207" s="91"/>
      <c r="T207" s="91"/>
      <c r="U207" s="91"/>
      <c r="V207" s="91"/>
      <c r="W207" s="91"/>
      <c r="Z207" s="123"/>
      <c r="AA207" s="123"/>
      <c r="AB207" s="123"/>
      <c r="AC207" s="123"/>
      <c r="AD207" s="123"/>
      <c r="AE207" s="123"/>
      <c r="AF207" s="123"/>
    </row>
    <row r="208" spans="2:32" x14ac:dyDescent="0.25">
      <c r="D208" s="1"/>
      <c r="E208" s="179"/>
      <c r="F208" s="179"/>
      <c r="G208" s="1"/>
      <c r="H208" s="42"/>
      <c r="I208" s="42"/>
      <c r="J208" s="92"/>
      <c r="K208" s="1"/>
      <c r="L208" s="1"/>
      <c r="M208" s="1"/>
      <c r="N208" s="1"/>
      <c r="O208" s="1"/>
      <c r="P208" s="91">
        <f>SUM(Q208:W208)</f>
        <v>0</v>
      </c>
      <c r="Q208" s="91"/>
      <c r="R208" s="91"/>
      <c r="S208" s="91"/>
      <c r="T208" s="91"/>
      <c r="U208" s="91"/>
      <c r="V208" s="91"/>
      <c r="W208" s="91"/>
      <c r="Z208" s="123"/>
      <c r="AA208" s="123"/>
      <c r="AB208" s="123"/>
      <c r="AC208" s="123"/>
      <c r="AD208" s="123"/>
      <c r="AE208" s="123"/>
      <c r="AF208" s="123"/>
    </row>
    <row r="209" spans="2:32" x14ac:dyDescent="0.25">
      <c r="D209" s="1"/>
      <c r="E209" s="184"/>
      <c r="F209" s="184"/>
      <c r="G209" s="8"/>
      <c r="H209" s="51"/>
      <c r="I209" s="8"/>
      <c r="J209" s="8"/>
      <c r="K209" s="8"/>
      <c r="L209" s="8"/>
      <c r="M209" s="8"/>
      <c r="N209" s="8"/>
      <c r="O209" s="8"/>
      <c r="P209" s="91">
        <f>SUM(Q209:W209)</f>
        <v>0</v>
      </c>
      <c r="Q209" s="41">
        <v>0</v>
      </c>
      <c r="R209" s="41">
        <v>0</v>
      </c>
      <c r="S209" s="41">
        <v>0</v>
      </c>
      <c r="T209" s="41">
        <v>0</v>
      </c>
      <c r="U209" s="41">
        <v>0</v>
      </c>
      <c r="V209" s="41">
        <v>0</v>
      </c>
      <c r="W209" s="41">
        <v>0</v>
      </c>
      <c r="Z209" s="124"/>
      <c r="AA209" s="124"/>
      <c r="AB209" s="124"/>
      <c r="AC209" s="124"/>
      <c r="AD209" s="124"/>
      <c r="AE209" s="124"/>
      <c r="AF209" s="124"/>
    </row>
    <row r="210" spans="2:32" x14ac:dyDescent="0.25">
      <c r="D210" s="1"/>
      <c r="E210" s="184" t="str">
        <f t="shared" ref="E210:E219" si="146">IF(D210="","","1010V07213")</f>
        <v/>
      </c>
      <c r="F210" s="184" t="str">
        <f t="shared" ref="F210:F219" si="147">IF(D210="","","1000")</f>
        <v/>
      </c>
      <c r="G210" s="8" t="str">
        <f t="shared" ref="G210:G219" si="148">IF(D210="","","310")</f>
        <v/>
      </c>
      <c r="H210" s="51"/>
      <c r="I210" s="8" t="str">
        <f>IF($D210="","",IF(VLOOKUP($D210,TaskNEU!$B$3:$D$36,3,FALSE)="","",VLOOKUP($D210,TaskNEU!$B$3:$D$36,3,FALSE)))</f>
        <v/>
      </c>
      <c r="J210" s="8" t="str">
        <f>IF($D210="","",IF(VLOOKUP($D210,TaskNEU!$B$10:$E$36,2,FALSE)="","",VLOOKUP($D210,TaskNEU!$B$10:$E$36,2,FALSE)))</f>
        <v/>
      </c>
      <c r="K210" s="8"/>
      <c r="L210" s="8" t="str">
        <f>IF($D210="","",IF(VLOOKUP($D210,TaskNEU!$B$10:$E$36,4,FALSE)="","",VLOOKUP($D210,TaskNEU!$B$10:$E$36,4,FALSE)))</f>
        <v/>
      </c>
      <c r="M210" s="8"/>
      <c r="N210" s="8" t="str">
        <f t="shared" ref="N210:N219" si="149">IF(D210="","","A238")</f>
        <v/>
      </c>
      <c r="O210" s="8"/>
      <c r="P210" s="91">
        <f t="shared" ref="P210:P219" si="150">SUM(Q210:W210)</f>
        <v>0</v>
      </c>
      <c r="Q210" s="41">
        <v>0</v>
      </c>
      <c r="R210" s="41">
        <v>0</v>
      </c>
      <c r="S210" s="41">
        <v>0</v>
      </c>
      <c r="T210" s="41">
        <v>0</v>
      </c>
      <c r="U210" s="41">
        <v>0</v>
      </c>
      <c r="V210" s="41">
        <v>0</v>
      </c>
      <c r="W210" s="41">
        <v>0</v>
      </c>
      <c r="Z210" s="124"/>
      <c r="AA210" s="124"/>
      <c r="AB210" s="124"/>
      <c r="AC210" s="124"/>
      <c r="AD210" s="124"/>
      <c r="AE210" s="124"/>
      <c r="AF210" s="124"/>
    </row>
    <row r="211" spans="2:32" x14ac:dyDescent="0.25">
      <c r="D211" s="1"/>
      <c r="E211" s="184" t="str">
        <f t="shared" si="146"/>
        <v/>
      </c>
      <c r="F211" s="184" t="str">
        <f t="shared" si="147"/>
        <v/>
      </c>
      <c r="G211" s="8" t="str">
        <f t="shared" si="148"/>
        <v/>
      </c>
      <c r="H211" s="51"/>
      <c r="I211" s="8" t="str">
        <f>IF($D211="","",IF(VLOOKUP($D211,TaskNEU!$B$3:$D$36,3,FALSE)="","",VLOOKUP($D211,TaskNEU!$B$3:$D$36,3,FALSE)))</f>
        <v/>
      </c>
      <c r="J211" s="8" t="str">
        <f>IF($D211="","",IF(VLOOKUP($D211,TaskNEU!$B$10:$E$36,2,FALSE)="","",VLOOKUP($D211,TaskNEU!$B$10:$E$36,2,FALSE)))</f>
        <v/>
      </c>
      <c r="K211" s="8"/>
      <c r="L211" s="8" t="str">
        <f>IF($D211="","",IF(VLOOKUP($D211,TaskNEU!$B$10:$E$36,4,FALSE)="","",VLOOKUP($D211,TaskNEU!$B$10:$E$36,4,FALSE)))</f>
        <v/>
      </c>
      <c r="M211" s="8"/>
      <c r="N211" s="8" t="str">
        <f t="shared" si="149"/>
        <v/>
      </c>
      <c r="O211" s="8"/>
      <c r="P211" s="91">
        <f t="shared" si="150"/>
        <v>0</v>
      </c>
      <c r="Q211" s="41">
        <v>0</v>
      </c>
      <c r="R211" s="41">
        <v>0</v>
      </c>
      <c r="S211" s="41">
        <v>0</v>
      </c>
      <c r="T211" s="41">
        <v>0</v>
      </c>
      <c r="U211" s="41">
        <v>0</v>
      </c>
      <c r="V211" s="41">
        <v>0</v>
      </c>
      <c r="W211" s="41">
        <v>0</v>
      </c>
      <c r="Z211" s="124"/>
      <c r="AA211" s="124"/>
      <c r="AB211" s="124"/>
      <c r="AC211" s="124"/>
      <c r="AD211" s="124"/>
      <c r="AE211" s="124"/>
      <c r="AF211" s="124"/>
    </row>
    <row r="212" spans="2:32" x14ac:dyDescent="0.25">
      <c r="D212" s="1"/>
      <c r="E212" s="184" t="str">
        <f t="shared" si="146"/>
        <v/>
      </c>
      <c r="F212" s="184" t="str">
        <f t="shared" si="147"/>
        <v/>
      </c>
      <c r="G212" s="8" t="str">
        <f t="shared" si="148"/>
        <v/>
      </c>
      <c r="H212" s="51"/>
      <c r="I212" s="8" t="str">
        <f>IF($D212="","",IF(VLOOKUP($D212,TaskNEU!$B$3:$D$36,3,FALSE)="","",VLOOKUP($D212,TaskNEU!$B$3:$D$36,3,FALSE)))</f>
        <v/>
      </c>
      <c r="J212" s="8" t="str">
        <f>IF($D212="","",IF(VLOOKUP($D212,TaskNEU!$B$10:$E$36,2,FALSE)="","",VLOOKUP($D212,TaskNEU!$B$10:$E$36,2,FALSE)))</f>
        <v/>
      </c>
      <c r="K212" s="8"/>
      <c r="L212" s="8" t="str">
        <f>IF($D212="","",IF(VLOOKUP($D212,TaskNEU!$B$10:$E$36,4,FALSE)="","",VLOOKUP($D212,TaskNEU!$B$10:$E$36,4,FALSE)))</f>
        <v/>
      </c>
      <c r="M212" s="8"/>
      <c r="N212" s="8" t="str">
        <f t="shared" si="149"/>
        <v/>
      </c>
      <c r="O212" s="8"/>
      <c r="P212" s="91">
        <f t="shared" si="150"/>
        <v>0</v>
      </c>
      <c r="Q212" s="41">
        <v>0</v>
      </c>
      <c r="R212" s="41">
        <v>0</v>
      </c>
      <c r="S212" s="41">
        <v>0</v>
      </c>
      <c r="T212" s="41">
        <v>0</v>
      </c>
      <c r="U212" s="41">
        <v>0</v>
      </c>
      <c r="V212" s="41">
        <v>0</v>
      </c>
      <c r="W212" s="41">
        <v>0</v>
      </c>
      <c r="Z212" s="124"/>
      <c r="AA212" s="124"/>
      <c r="AB212" s="124"/>
      <c r="AC212" s="124"/>
      <c r="AD212" s="124"/>
      <c r="AE212" s="124"/>
      <c r="AF212" s="124"/>
    </row>
    <row r="213" spans="2:32" x14ac:dyDescent="0.25">
      <c r="D213" s="1"/>
      <c r="E213" s="184" t="str">
        <f t="shared" si="146"/>
        <v/>
      </c>
      <c r="F213" s="184" t="str">
        <f t="shared" si="147"/>
        <v/>
      </c>
      <c r="G213" s="8" t="str">
        <f t="shared" si="148"/>
        <v/>
      </c>
      <c r="H213" s="51"/>
      <c r="I213" s="8" t="str">
        <f>IF($D213="","",IF(VLOOKUP($D213,TaskNEU!$B$3:$D$36,3,FALSE)="","",VLOOKUP($D213,TaskNEU!$B$3:$D$36,3,FALSE)))</f>
        <v/>
      </c>
      <c r="J213" s="8" t="str">
        <f>IF($D213="","",IF(VLOOKUP($D213,TaskNEU!$B$10:$E$36,2,FALSE)="","",VLOOKUP($D213,TaskNEU!$B$10:$E$36,2,FALSE)))</f>
        <v/>
      </c>
      <c r="K213" s="8"/>
      <c r="L213" s="8" t="str">
        <f>IF($D213="","",IF(VLOOKUP($D213,TaskNEU!$B$10:$E$36,4,FALSE)="","",VLOOKUP($D213,TaskNEU!$B$10:$E$36,4,FALSE)))</f>
        <v/>
      </c>
      <c r="M213" s="8"/>
      <c r="N213" s="8" t="str">
        <f t="shared" si="149"/>
        <v/>
      </c>
      <c r="O213" s="8"/>
      <c r="P213" s="91">
        <f t="shared" si="150"/>
        <v>0</v>
      </c>
      <c r="Q213" s="41">
        <v>0</v>
      </c>
      <c r="R213" s="41">
        <v>0</v>
      </c>
      <c r="S213" s="41">
        <v>0</v>
      </c>
      <c r="T213" s="41">
        <v>0</v>
      </c>
      <c r="U213" s="41">
        <v>0</v>
      </c>
      <c r="V213" s="41">
        <v>0</v>
      </c>
      <c r="W213" s="41">
        <v>0</v>
      </c>
      <c r="Z213" s="124"/>
      <c r="AA213" s="124"/>
      <c r="AB213" s="124"/>
      <c r="AC213" s="124"/>
      <c r="AD213" s="124"/>
      <c r="AE213" s="124"/>
      <c r="AF213" s="124"/>
    </row>
    <row r="214" spans="2:32" x14ac:dyDescent="0.25">
      <c r="D214" s="1"/>
      <c r="E214" s="184" t="str">
        <f t="shared" si="146"/>
        <v/>
      </c>
      <c r="F214" s="184" t="str">
        <f t="shared" si="147"/>
        <v/>
      </c>
      <c r="G214" s="8" t="str">
        <f t="shared" si="148"/>
        <v/>
      </c>
      <c r="H214" s="51"/>
      <c r="I214" s="8" t="str">
        <f>IF($D214="","",IF(VLOOKUP($D214,TaskNEU!$B$3:$D$36,3,FALSE)="","",VLOOKUP($D214,TaskNEU!$B$3:$D$36,3,FALSE)))</f>
        <v/>
      </c>
      <c r="J214" s="8" t="str">
        <f>IF($D214="","",IF(VLOOKUP($D214,TaskNEU!$B$10:$E$36,2,FALSE)="","",VLOOKUP($D214,TaskNEU!$B$10:$E$36,2,FALSE)))</f>
        <v/>
      </c>
      <c r="K214" s="8"/>
      <c r="L214" s="8" t="str">
        <f>IF($D214="","",IF(VLOOKUP($D214,TaskNEU!$B$10:$E$36,4,FALSE)="","",VLOOKUP($D214,TaskNEU!$B$10:$E$36,4,FALSE)))</f>
        <v/>
      </c>
      <c r="M214" s="8"/>
      <c r="N214" s="8" t="str">
        <f t="shared" si="149"/>
        <v/>
      </c>
      <c r="O214" s="8"/>
      <c r="P214" s="91">
        <f t="shared" si="150"/>
        <v>0</v>
      </c>
      <c r="Q214" s="41">
        <v>0</v>
      </c>
      <c r="R214" s="41">
        <v>0</v>
      </c>
      <c r="S214" s="41">
        <v>0</v>
      </c>
      <c r="T214" s="41">
        <v>0</v>
      </c>
      <c r="U214" s="41">
        <v>0</v>
      </c>
      <c r="V214" s="41">
        <v>0</v>
      </c>
      <c r="W214" s="41">
        <v>0</v>
      </c>
      <c r="Z214" s="124"/>
      <c r="AA214" s="124"/>
      <c r="AB214" s="124"/>
      <c r="AC214" s="124"/>
      <c r="AD214" s="124"/>
      <c r="AE214" s="124"/>
      <c r="AF214" s="124"/>
    </row>
    <row r="215" spans="2:32" x14ac:dyDescent="0.25">
      <c r="D215" s="1"/>
      <c r="E215" s="184" t="str">
        <f t="shared" si="146"/>
        <v/>
      </c>
      <c r="F215" s="184" t="str">
        <f t="shared" si="147"/>
        <v/>
      </c>
      <c r="G215" s="8" t="str">
        <f t="shared" si="148"/>
        <v/>
      </c>
      <c r="H215" s="51"/>
      <c r="I215" s="8" t="str">
        <f>IF($D215="","",IF(VLOOKUP($D215,TaskNEU!$B$3:$D$36,3,FALSE)="","",VLOOKUP($D215,TaskNEU!$B$3:$D$36,3,FALSE)))</f>
        <v/>
      </c>
      <c r="J215" s="8" t="str">
        <f>IF($D215="","",IF(VLOOKUP($D215,TaskNEU!$B$10:$E$36,2,FALSE)="","",VLOOKUP($D215,TaskNEU!$B$10:$E$36,2,FALSE)))</f>
        <v/>
      </c>
      <c r="K215" s="8"/>
      <c r="L215" s="8" t="str">
        <f>IF($D215="","",IF(VLOOKUP($D215,TaskNEU!$B$10:$E$36,4,FALSE)="","",VLOOKUP($D215,TaskNEU!$B$10:$E$36,4,FALSE)))</f>
        <v/>
      </c>
      <c r="M215" s="8"/>
      <c r="N215" s="8" t="str">
        <f t="shared" si="149"/>
        <v/>
      </c>
      <c r="O215" s="8"/>
      <c r="P215" s="91">
        <f t="shared" si="150"/>
        <v>0</v>
      </c>
      <c r="Q215" s="41">
        <v>0</v>
      </c>
      <c r="R215" s="41">
        <v>0</v>
      </c>
      <c r="S215" s="41">
        <v>0</v>
      </c>
      <c r="T215" s="41">
        <v>0</v>
      </c>
      <c r="U215" s="41">
        <v>0</v>
      </c>
      <c r="V215" s="41">
        <v>0</v>
      </c>
      <c r="W215" s="41">
        <v>0</v>
      </c>
      <c r="Z215" s="124"/>
      <c r="AA215" s="124"/>
      <c r="AB215" s="124"/>
      <c r="AC215" s="124"/>
      <c r="AD215" s="124"/>
      <c r="AE215" s="124"/>
      <c r="AF215" s="124"/>
    </row>
    <row r="216" spans="2:32" x14ac:dyDescent="0.25">
      <c r="D216" s="1"/>
      <c r="E216" s="184" t="str">
        <f t="shared" si="146"/>
        <v/>
      </c>
      <c r="F216" s="184" t="str">
        <f t="shared" si="147"/>
        <v/>
      </c>
      <c r="G216" s="8" t="str">
        <f t="shared" si="148"/>
        <v/>
      </c>
      <c r="H216" s="51"/>
      <c r="I216" s="8" t="str">
        <f>IF($D216="","",IF(VLOOKUP($D216,TaskNEU!$B$3:$D$36,3,FALSE)="","",VLOOKUP($D216,TaskNEU!$B$3:$D$36,3,FALSE)))</f>
        <v/>
      </c>
      <c r="J216" s="8" t="str">
        <f>IF($D216="","",IF(VLOOKUP($D216,TaskNEU!$B$10:$E$36,2,FALSE)="","",VLOOKUP($D216,TaskNEU!$B$10:$E$36,2,FALSE)))</f>
        <v/>
      </c>
      <c r="K216" s="8"/>
      <c r="L216" s="8" t="str">
        <f>IF($D216="","",IF(VLOOKUP($D216,TaskNEU!$B$10:$E$36,4,FALSE)="","",VLOOKUP($D216,TaskNEU!$B$10:$E$36,4,FALSE)))</f>
        <v/>
      </c>
      <c r="M216" s="8"/>
      <c r="N216" s="8" t="str">
        <f t="shared" si="149"/>
        <v/>
      </c>
      <c r="O216" s="8"/>
      <c r="P216" s="91">
        <f t="shared" si="150"/>
        <v>0</v>
      </c>
      <c r="Q216" s="41">
        <v>0</v>
      </c>
      <c r="R216" s="41">
        <v>0</v>
      </c>
      <c r="S216" s="41">
        <v>0</v>
      </c>
      <c r="T216" s="41">
        <v>0</v>
      </c>
      <c r="U216" s="41">
        <v>0</v>
      </c>
      <c r="V216" s="41">
        <v>0</v>
      </c>
      <c r="W216" s="41">
        <v>0</v>
      </c>
      <c r="Z216" s="124"/>
      <c r="AA216" s="124"/>
      <c r="AB216" s="124"/>
      <c r="AC216" s="124"/>
      <c r="AD216" s="124"/>
      <c r="AE216" s="124"/>
      <c r="AF216" s="124"/>
    </row>
    <row r="217" spans="2:32" x14ac:dyDescent="0.25">
      <c r="D217" s="1"/>
      <c r="E217" s="184" t="str">
        <f t="shared" si="146"/>
        <v/>
      </c>
      <c r="F217" s="184" t="str">
        <f t="shared" si="147"/>
        <v/>
      </c>
      <c r="G217" s="8" t="str">
        <f t="shared" si="148"/>
        <v/>
      </c>
      <c r="H217" s="51"/>
      <c r="I217" s="8" t="str">
        <f>IF($D217="","",IF(VLOOKUP($D217,TaskNEU!$B$3:$D$36,3,FALSE)="","",VLOOKUP($D217,TaskNEU!$B$3:$D$36,3,FALSE)))</f>
        <v/>
      </c>
      <c r="J217" s="8" t="str">
        <f>IF($D217="","",IF(VLOOKUP($D217,TaskNEU!$B$10:$E$36,2,FALSE)="","",VLOOKUP($D217,TaskNEU!$B$10:$E$36,2,FALSE)))</f>
        <v/>
      </c>
      <c r="K217" s="8"/>
      <c r="L217" s="8" t="str">
        <f>IF($D217="","",IF(VLOOKUP($D217,TaskNEU!$B$10:$E$36,4,FALSE)="","",VLOOKUP($D217,TaskNEU!$B$10:$E$36,4,FALSE)))</f>
        <v/>
      </c>
      <c r="M217" s="8"/>
      <c r="N217" s="8" t="str">
        <f t="shared" si="149"/>
        <v/>
      </c>
      <c r="O217" s="8"/>
      <c r="P217" s="91">
        <f t="shared" si="150"/>
        <v>0</v>
      </c>
      <c r="Q217" s="41">
        <v>0</v>
      </c>
      <c r="R217" s="41">
        <v>0</v>
      </c>
      <c r="S217" s="41">
        <v>0</v>
      </c>
      <c r="T217" s="41">
        <v>0</v>
      </c>
      <c r="U217" s="41">
        <v>0</v>
      </c>
      <c r="V217" s="41">
        <v>0</v>
      </c>
      <c r="W217" s="41">
        <v>0</v>
      </c>
      <c r="Z217" s="124"/>
      <c r="AA217" s="124"/>
      <c r="AB217" s="124"/>
      <c r="AC217" s="124"/>
      <c r="AD217" s="124"/>
      <c r="AE217" s="124"/>
      <c r="AF217" s="124"/>
    </row>
    <row r="218" spans="2:32" x14ac:dyDescent="0.25">
      <c r="D218" s="1"/>
      <c r="E218" s="184" t="str">
        <f t="shared" si="146"/>
        <v/>
      </c>
      <c r="F218" s="184" t="str">
        <f t="shared" si="147"/>
        <v/>
      </c>
      <c r="G218" s="8" t="str">
        <f t="shared" si="148"/>
        <v/>
      </c>
      <c r="H218" s="51"/>
      <c r="I218" s="8" t="str">
        <f>IF($D218="","",IF(VLOOKUP($D218,TaskNEU!$B$3:$D$36,3,FALSE)="","",VLOOKUP($D218,TaskNEU!$B$3:$D$36,3,FALSE)))</f>
        <v/>
      </c>
      <c r="J218" s="8" t="str">
        <f>IF($D218="","",IF(VLOOKUP($D218,TaskNEU!$B$10:$E$36,2,FALSE)="","",VLOOKUP($D218,TaskNEU!$B$10:$E$36,2,FALSE)))</f>
        <v/>
      </c>
      <c r="K218" s="8"/>
      <c r="L218" s="8" t="str">
        <f>IF($D218="","",IF(VLOOKUP($D218,TaskNEU!$B$10:$E$36,4,FALSE)="","",VLOOKUP($D218,TaskNEU!$B$10:$E$36,4,FALSE)))</f>
        <v/>
      </c>
      <c r="M218" s="8"/>
      <c r="N218" s="8" t="str">
        <f t="shared" si="149"/>
        <v/>
      </c>
      <c r="O218" s="8"/>
      <c r="P218" s="91">
        <f t="shared" si="150"/>
        <v>0</v>
      </c>
      <c r="Q218" s="41">
        <v>0</v>
      </c>
      <c r="R218" s="41">
        <v>0</v>
      </c>
      <c r="S218" s="41">
        <v>0</v>
      </c>
      <c r="T218" s="41">
        <v>0</v>
      </c>
      <c r="U218" s="41">
        <v>0</v>
      </c>
      <c r="V218" s="41">
        <v>0</v>
      </c>
      <c r="W218" s="41">
        <v>0</v>
      </c>
      <c r="Z218" s="124"/>
      <c r="AA218" s="124"/>
      <c r="AB218" s="124"/>
      <c r="AC218" s="124"/>
      <c r="AD218" s="124"/>
      <c r="AE218" s="124"/>
      <c r="AF218" s="124"/>
    </row>
    <row r="219" spans="2:32" x14ac:dyDescent="0.25">
      <c r="D219" s="1"/>
      <c r="E219" s="184" t="str">
        <f t="shared" si="146"/>
        <v/>
      </c>
      <c r="F219" s="184" t="str">
        <f t="shared" si="147"/>
        <v/>
      </c>
      <c r="G219" s="8" t="str">
        <f t="shared" si="148"/>
        <v/>
      </c>
      <c r="H219" s="51"/>
      <c r="I219" s="8" t="str">
        <f>IF($D219="","",IF(VLOOKUP($D219,TaskNEU!$B$3:$D$36,3,FALSE)="","",VLOOKUP($D219,TaskNEU!$B$3:$D$36,3,FALSE)))</f>
        <v/>
      </c>
      <c r="J219" s="8" t="str">
        <f>IF($D219="","",IF(VLOOKUP($D219,TaskNEU!$B$10:$E$36,2,FALSE)="","",VLOOKUP($D219,TaskNEU!$B$10:$E$36,2,FALSE)))</f>
        <v/>
      </c>
      <c r="K219" s="8"/>
      <c r="L219" s="8" t="str">
        <f>IF($D219="","",IF(VLOOKUP($D219,TaskNEU!$B$10:$E$36,4,FALSE)="","",VLOOKUP($D219,TaskNEU!$B$10:$E$36,4,FALSE)))</f>
        <v/>
      </c>
      <c r="M219" s="8"/>
      <c r="N219" s="8" t="str">
        <f t="shared" si="149"/>
        <v/>
      </c>
      <c r="O219" s="8"/>
      <c r="P219" s="91">
        <f t="shared" si="150"/>
        <v>0</v>
      </c>
      <c r="Q219" s="41">
        <v>0</v>
      </c>
      <c r="R219" s="41">
        <v>0</v>
      </c>
      <c r="S219" s="41">
        <v>0</v>
      </c>
      <c r="T219" s="41">
        <v>0</v>
      </c>
      <c r="U219" s="41">
        <v>0</v>
      </c>
      <c r="V219" s="41">
        <v>0</v>
      </c>
      <c r="W219" s="41">
        <v>0</v>
      </c>
      <c r="Z219" s="124"/>
      <c r="AA219" s="124"/>
      <c r="AB219" s="124"/>
      <c r="AC219" s="124"/>
      <c r="AD219" s="124"/>
      <c r="AE219" s="124"/>
      <c r="AF219" s="124"/>
    </row>
    <row r="220" spans="2:32" ht="15.75" thickBot="1" x14ac:dyDescent="0.3">
      <c r="D220" s="56"/>
      <c r="E220" s="186"/>
      <c r="F220" s="186"/>
      <c r="G220" s="56"/>
      <c r="H220" s="56"/>
      <c r="I220" s="56"/>
      <c r="J220" s="56"/>
      <c r="K220" s="56"/>
      <c r="L220" s="56"/>
      <c r="M220" s="56"/>
      <c r="N220" s="56"/>
      <c r="O220" s="56"/>
      <c r="P220" s="73">
        <f>SUM(Q207:W219)</f>
        <v>0</v>
      </c>
      <c r="Q220" s="72">
        <f>SUM(Q207:Q219)</f>
        <v>0</v>
      </c>
      <c r="R220" s="72">
        <f t="shared" ref="R220:W220" si="151">SUM(R207:R219)</f>
        <v>0</v>
      </c>
      <c r="S220" s="72">
        <f t="shared" si="151"/>
        <v>0</v>
      </c>
      <c r="T220" s="72">
        <f t="shared" si="151"/>
        <v>0</v>
      </c>
      <c r="U220" s="72">
        <f t="shared" si="151"/>
        <v>0</v>
      </c>
      <c r="V220" s="72">
        <f t="shared" si="151"/>
        <v>0</v>
      </c>
      <c r="W220" s="72">
        <f t="shared" si="151"/>
        <v>0</v>
      </c>
      <c r="X220" s="118"/>
      <c r="Y220" s="56"/>
      <c r="Z220" s="56"/>
      <c r="AA220" s="56"/>
      <c r="AB220" s="56"/>
      <c r="AC220" s="56"/>
      <c r="AD220" s="56"/>
      <c r="AE220" s="56"/>
      <c r="AF220" s="56"/>
    </row>
    <row r="221" spans="2:32" x14ac:dyDescent="0.25">
      <c r="D221" s="55"/>
      <c r="E221" s="178"/>
      <c r="F221" s="178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55"/>
      <c r="W221" s="55"/>
    </row>
    <row r="222" spans="2:32" x14ac:dyDescent="0.25">
      <c r="B222" s="57"/>
      <c r="C222" s="58"/>
      <c r="D222" s="1" t="s">
        <v>40</v>
      </c>
      <c r="E222" s="179">
        <f>E195+1</f>
        <v>13</v>
      </c>
      <c r="F222" s="179" t="s">
        <v>0</v>
      </c>
      <c r="G222" s="2">
        <f>SUM(I225:I231)</f>
        <v>1.7187500000000002</v>
      </c>
      <c r="H222" s="221" t="s">
        <v>1</v>
      </c>
      <c r="I222" s="222"/>
      <c r="J222" s="2">
        <f>SUM(J225:J231)</f>
        <v>1.7187500000000002</v>
      </c>
      <c r="K222" s="67"/>
      <c r="L222" s="68"/>
      <c r="M222" s="35"/>
      <c r="N222" s="40" t="s">
        <v>57</v>
      </c>
      <c r="O222" s="8"/>
    </row>
    <row r="223" spans="2:32" x14ac:dyDescent="0.25">
      <c r="B223" s="59"/>
      <c r="C223" s="60"/>
      <c r="D223" s="1"/>
      <c r="E223" s="179"/>
      <c r="F223" s="180" t="s">
        <v>48</v>
      </c>
      <c r="G223" s="2">
        <f>SUM(Q225:Q231)/24</f>
        <v>0</v>
      </c>
      <c r="H223" s="52"/>
      <c r="I223" s="21" t="s">
        <v>58</v>
      </c>
      <c r="J223" s="2">
        <f>P247/24</f>
        <v>0</v>
      </c>
      <c r="K223" s="67"/>
      <c r="L223" s="69"/>
      <c r="M223" s="7"/>
      <c r="O223" s="8" t="s">
        <v>191</v>
      </c>
      <c r="Q223" s="93">
        <f>SUM(Q225:Q231)</f>
        <v>0</v>
      </c>
      <c r="R223" s="93">
        <f>SUM(R225:R231)</f>
        <v>1.25</v>
      </c>
      <c r="S223" s="93">
        <f>SUM(S225:S231)</f>
        <v>0</v>
      </c>
      <c r="T223" s="110" t="s">
        <v>188</v>
      </c>
      <c r="U223" s="58"/>
      <c r="V223" s="112" t="s">
        <v>189</v>
      </c>
    </row>
    <row r="224" spans="2:32" x14ac:dyDescent="0.25">
      <c r="B224" s="61"/>
      <c r="C224" s="62"/>
      <c r="D224" s="1" t="s">
        <v>2</v>
      </c>
      <c r="E224" s="179" t="s">
        <v>3</v>
      </c>
      <c r="F224" s="179" t="s">
        <v>4</v>
      </c>
      <c r="G224" s="1" t="s">
        <v>5</v>
      </c>
      <c r="H224" s="52" t="s">
        <v>6</v>
      </c>
      <c r="I224" s="52" t="s">
        <v>7</v>
      </c>
      <c r="J224" s="52" t="s">
        <v>45</v>
      </c>
      <c r="K224" s="1" t="s">
        <v>44</v>
      </c>
      <c r="L224" s="219" t="s">
        <v>21</v>
      </c>
      <c r="M224" s="220"/>
      <c r="N224" s="219" t="s">
        <v>18</v>
      </c>
      <c r="O224" s="220"/>
      <c r="P224" s="42" t="s">
        <v>56</v>
      </c>
      <c r="Q224" s="93" t="s">
        <v>138</v>
      </c>
      <c r="R224" s="52" t="s">
        <v>139</v>
      </c>
      <c r="S224" s="52" t="s">
        <v>140</v>
      </c>
      <c r="T224" s="111" t="s">
        <v>187</v>
      </c>
      <c r="U224" s="62"/>
      <c r="V224" s="113" t="s">
        <v>118</v>
      </c>
    </row>
    <row r="225" spans="2:32" x14ac:dyDescent="0.25">
      <c r="B225" s="21" t="str">
        <f>IF(C225=1,"Mo",IF(C225=2,"Di",IF(C225=3,"Mi",IF(C225=4,"Do",IF(C225=5,"Fr",IF(C225=6,"Sa",IF(C225=7,"So","")))))))</f>
        <v>Mo</v>
      </c>
      <c r="C225" s="1">
        <f>WEEKDAY(D225,2)</f>
        <v>1</v>
      </c>
      <c r="D225" s="3">
        <f>D198+7</f>
        <v>46104</v>
      </c>
      <c r="E225" s="181">
        <v>0.34375</v>
      </c>
      <c r="F225" s="182">
        <v>0.73958333333333337</v>
      </c>
      <c r="G225" s="5">
        <f t="shared" ref="G225:G231" si="152">IF(AND(H225&gt;6/24,H225&lt;=9.5/24),0.5/24,IF(H225&gt;9.5/24,0.75/24,0))</f>
        <v>2.0833333333333332E-2</v>
      </c>
      <c r="H225" s="22">
        <f t="shared" ref="H225:H231" si="153">((IF(E225*24&gt;F225*24,F225*24+(24-E225*24),F225*24-E225*24))/24)-(V225/24)</f>
        <v>0.39583333333333331</v>
      </c>
      <c r="I225" s="6">
        <f>H225-G225</f>
        <v>0.375</v>
      </c>
      <c r="J225" s="6">
        <f>IF(C225&lt;6,I225,0/24)</f>
        <v>0.375</v>
      </c>
      <c r="K225" s="23">
        <f>IF(C225&lt;5,((0.5+8.5+(E225*24))/24),IF(C225=5,((6+(E225*24))/24),))</f>
        <v>0.71875</v>
      </c>
      <c r="L225" s="219"/>
      <c r="M225" s="220"/>
      <c r="N225" s="219"/>
      <c r="O225" s="220"/>
      <c r="P225" s="39">
        <f>IF(I225="","",I225*24)</f>
        <v>9</v>
      </c>
      <c r="Q225" s="71"/>
      <c r="R225" s="94">
        <f t="shared" ref="R225:R231" si="154">IF(C225&lt;5,(IF(P225&gt;8.5,P225-8.5)),IF(C225=5,(IF(P225&gt;6,P225-6)),IF(C225&gt;5,P225)))</f>
        <v>0.5</v>
      </c>
      <c r="S225" s="94" t="b">
        <f>IF(C225&lt;5,(IF(P225&lt;8.5,8.5-P225)),IF(C225=5,(IF(P225&lt;6,6-P225))))</f>
        <v>0</v>
      </c>
      <c r="T225" s="24"/>
      <c r="U225" s="25"/>
      <c r="V225" s="109">
        <v>0</v>
      </c>
      <c r="W225" s="114">
        <f t="shared" ref="W225:W231" si="155">D225</f>
        <v>46104</v>
      </c>
      <c r="X225" s="21" t="str">
        <f>B225</f>
        <v>Mo</v>
      </c>
    </row>
    <row r="226" spans="2:32" x14ac:dyDescent="0.25">
      <c r="B226" s="21" t="str">
        <f t="shared" ref="B226:B231" si="156">IF(C226=1,"Mo",IF(C226=2,"Di",IF(C226=3,"Mi",IF(C226=4,"Do",IF(C226=5,"Fr",IF(C226=6,"Sa",IF(C226=7,"So","")))))))</f>
        <v>Di</v>
      </c>
      <c r="C226" s="1">
        <f t="shared" ref="C226:C231" si="157">WEEKDAY(D226,2)</f>
        <v>2</v>
      </c>
      <c r="D226" s="3">
        <f t="shared" ref="D226:D231" si="158">D225+1</f>
        <v>46105</v>
      </c>
      <c r="E226" s="181">
        <v>0.3125</v>
      </c>
      <c r="F226" s="182">
        <v>0.71875</v>
      </c>
      <c r="G226" s="5">
        <f t="shared" si="152"/>
        <v>3.125E-2</v>
      </c>
      <c r="H226" s="22">
        <f t="shared" si="153"/>
        <v>0.40625</v>
      </c>
      <c r="I226" s="6">
        <f t="shared" ref="I226:I231" si="159">H226-G226</f>
        <v>0.375</v>
      </c>
      <c r="J226" s="6">
        <f t="shared" ref="J226:J231" si="160">IF(C226&lt;6,I226,0/24)</f>
        <v>0.375</v>
      </c>
      <c r="K226" s="23">
        <f t="shared" ref="K226:K231" si="161">IF(C226&lt;5,((0.5+8.5+(E226*24))/24),IF(C226=5,((6+(E226*24))/24),))</f>
        <v>0.6875</v>
      </c>
      <c r="L226" s="219"/>
      <c r="M226" s="220"/>
      <c r="N226" s="219"/>
      <c r="O226" s="220"/>
      <c r="P226" s="39">
        <f t="shared" ref="P226:P231" si="162">IF(I226="","",I226*24)</f>
        <v>9</v>
      </c>
      <c r="Q226" s="71"/>
      <c r="R226" s="94">
        <f t="shared" si="154"/>
        <v>0.5</v>
      </c>
      <c r="S226" s="94" t="b">
        <f t="shared" ref="S226:S231" si="163">IF(C226&lt;5,(IF(P226&lt;8.5,8.5-P226)),IF(C226=5,(IF(P226&lt;6,6-P226))))</f>
        <v>0</v>
      </c>
      <c r="T226" s="24"/>
      <c r="U226" s="25"/>
      <c r="V226" s="109">
        <v>0</v>
      </c>
      <c r="W226" s="114">
        <f t="shared" si="155"/>
        <v>46105</v>
      </c>
      <c r="X226" s="21" t="str">
        <f t="shared" ref="X226:X231" si="164">B226</f>
        <v>Di</v>
      </c>
    </row>
    <row r="227" spans="2:32" x14ac:dyDescent="0.25">
      <c r="B227" s="21" t="str">
        <f t="shared" si="156"/>
        <v>Mi</v>
      </c>
      <c r="C227" s="1">
        <f t="shared" si="157"/>
        <v>3</v>
      </c>
      <c r="D227" s="3">
        <f t="shared" si="158"/>
        <v>46106</v>
      </c>
      <c r="E227" s="181">
        <v>0.3125</v>
      </c>
      <c r="F227" s="182">
        <v>0.69791666666666663</v>
      </c>
      <c r="G227" s="5">
        <f t="shared" si="152"/>
        <v>2.0833333333333332E-2</v>
      </c>
      <c r="H227" s="22">
        <f t="shared" si="153"/>
        <v>0.38541666666666669</v>
      </c>
      <c r="I227" s="6">
        <f t="shared" si="159"/>
        <v>0.36458333333333337</v>
      </c>
      <c r="J227" s="6">
        <f t="shared" si="160"/>
        <v>0.36458333333333337</v>
      </c>
      <c r="K227" s="23">
        <f t="shared" si="161"/>
        <v>0.6875</v>
      </c>
      <c r="L227" s="219"/>
      <c r="M227" s="220"/>
      <c r="N227" s="219"/>
      <c r="O227" s="220"/>
      <c r="P227" s="39">
        <f t="shared" si="162"/>
        <v>8.75</v>
      </c>
      <c r="Q227" s="71"/>
      <c r="R227" s="94">
        <f t="shared" si="154"/>
        <v>0.25</v>
      </c>
      <c r="S227" s="94" t="b">
        <f t="shared" si="163"/>
        <v>0</v>
      </c>
      <c r="T227" s="24"/>
      <c r="U227" s="25"/>
      <c r="V227" s="109">
        <v>0</v>
      </c>
      <c r="W227" s="114">
        <f t="shared" si="155"/>
        <v>46106</v>
      </c>
      <c r="X227" s="21" t="str">
        <f t="shared" si="164"/>
        <v>Mi</v>
      </c>
    </row>
    <row r="228" spans="2:32" x14ac:dyDescent="0.25">
      <c r="B228" s="21" t="str">
        <f t="shared" si="156"/>
        <v>Do</v>
      </c>
      <c r="C228" s="1">
        <f t="shared" si="157"/>
        <v>4</v>
      </c>
      <c r="D228" s="3">
        <f t="shared" si="158"/>
        <v>46107</v>
      </c>
      <c r="E228" s="181">
        <v>0.3125</v>
      </c>
      <c r="F228" s="182">
        <v>0.6875</v>
      </c>
      <c r="G228" s="5">
        <f t="shared" si="152"/>
        <v>2.0833333333333332E-2</v>
      </c>
      <c r="H228" s="22">
        <f t="shared" si="153"/>
        <v>0.375</v>
      </c>
      <c r="I228" s="6">
        <f t="shared" si="159"/>
        <v>0.35416666666666669</v>
      </c>
      <c r="J228" s="6">
        <f t="shared" si="160"/>
        <v>0.35416666666666669</v>
      </c>
      <c r="K228" s="23">
        <f t="shared" si="161"/>
        <v>0.6875</v>
      </c>
      <c r="L228" s="219"/>
      <c r="M228" s="220"/>
      <c r="N228" s="219"/>
      <c r="O228" s="220"/>
      <c r="P228" s="39">
        <f t="shared" si="162"/>
        <v>8.5</v>
      </c>
      <c r="Q228" s="71"/>
      <c r="R228" s="94" t="b">
        <f t="shared" si="154"/>
        <v>0</v>
      </c>
      <c r="S228" s="94" t="b">
        <f t="shared" si="163"/>
        <v>0</v>
      </c>
      <c r="T228" s="24"/>
      <c r="U228" s="25"/>
      <c r="V228" s="109">
        <v>0</v>
      </c>
      <c r="W228" s="114">
        <f t="shared" si="155"/>
        <v>46107</v>
      </c>
      <c r="X228" s="21" t="str">
        <f t="shared" si="164"/>
        <v>Do</v>
      </c>
    </row>
    <row r="229" spans="2:32" x14ac:dyDescent="0.25">
      <c r="B229" s="21" t="str">
        <f t="shared" si="156"/>
        <v>Fr</v>
      </c>
      <c r="C229" s="1">
        <f t="shared" si="157"/>
        <v>5</v>
      </c>
      <c r="D229" s="3">
        <f t="shared" si="158"/>
        <v>46108</v>
      </c>
      <c r="E229" s="181">
        <v>0.26041666666666669</v>
      </c>
      <c r="F229" s="182">
        <v>0.51041666666666663</v>
      </c>
      <c r="G229" s="5">
        <f t="shared" si="152"/>
        <v>0</v>
      </c>
      <c r="H229" s="22">
        <f t="shared" si="153"/>
        <v>0.25</v>
      </c>
      <c r="I229" s="6">
        <f t="shared" si="159"/>
        <v>0.25</v>
      </c>
      <c r="J229" s="6">
        <f t="shared" si="160"/>
        <v>0.25</v>
      </c>
      <c r="K229" s="23">
        <f t="shared" si="161"/>
        <v>0.51041666666666663</v>
      </c>
      <c r="L229" s="219"/>
      <c r="M229" s="220"/>
      <c r="N229" s="219"/>
      <c r="O229" s="220"/>
      <c r="P229" s="39">
        <f t="shared" si="162"/>
        <v>6</v>
      </c>
      <c r="Q229" s="71"/>
      <c r="R229" s="94" t="b">
        <f t="shared" si="154"/>
        <v>0</v>
      </c>
      <c r="S229" s="94" t="b">
        <f t="shared" si="163"/>
        <v>0</v>
      </c>
      <c r="T229" s="24"/>
      <c r="U229" s="25"/>
      <c r="V229" s="109">
        <v>0</v>
      </c>
      <c r="W229" s="114">
        <f t="shared" si="155"/>
        <v>46108</v>
      </c>
      <c r="X229" s="21" t="str">
        <f t="shared" si="164"/>
        <v>Fr</v>
      </c>
    </row>
    <row r="230" spans="2:32" x14ac:dyDescent="0.25">
      <c r="B230" s="21" t="str">
        <f t="shared" si="156"/>
        <v>Sa</v>
      </c>
      <c r="C230" s="1">
        <f t="shared" si="157"/>
        <v>6</v>
      </c>
      <c r="D230" s="3">
        <f t="shared" si="158"/>
        <v>46109</v>
      </c>
      <c r="E230" s="181"/>
      <c r="F230" s="182"/>
      <c r="G230" s="5">
        <f t="shared" si="152"/>
        <v>0</v>
      </c>
      <c r="H230" s="22">
        <f t="shared" si="153"/>
        <v>0</v>
      </c>
      <c r="I230" s="6">
        <f t="shared" si="159"/>
        <v>0</v>
      </c>
      <c r="J230" s="6">
        <f t="shared" si="160"/>
        <v>0</v>
      </c>
      <c r="K230" s="23">
        <f t="shared" si="161"/>
        <v>0</v>
      </c>
      <c r="L230" s="219"/>
      <c r="M230" s="220"/>
      <c r="N230" s="219"/>
      <c r="O230" s="220"/>
      <c r="P230" s="39">
        <f t="shared" si="162"/>
        <v>0</v>
      </c>
      <c r="Q230" s="71"/>
      <c r="R230" s="94">
        <f t="shared" si="154"/>
        <v>0</v>
      </c>
      <c r="S230" s="94" t="b">
        <f t="shared" si="163"/>
        <v>0</v>
      </c>
      <c r="T230" s="24"/>
      <c r="U230" s="25"/>
      <c r="V230" s="109">
        <v>0</v>
      </c>
      <c r="W230" s="114">
        <f t="shared" si="155"/>
        <v>46109</v>
      </c>
      <c r="X230" s="21" t="str">
        <f t="shared" si="164"/>
        <v>Sa</v>
      </c>
    </row>
    <row r="231" spans="2:32" x14ac:dyDescent="0.25">
      <c r="B231" s="21" t="str">
        <f t="shared" si="156"/>
        <v>So</v>
      </c>
      <c r="C231" s="1">
        <f t="shared" si="157"/>
        <v>7</v>
      </c>
      <c r="D231" s="3">
        <f t="shared" si="158"/>
        <v>46110</v>
      </c>
      <c r="E231" s="181"/>
      <c r="F231" s="182"/>
      <c r="G231" s="5">
        <f t="shared" si="152"/>
        <v>0</v>
      </c>
      <c r="H231" s="22">
        <f t="shared" si="153"/>
        <v>0</v>
      </c>
      <c r="I231" s="6">
        <f t="shared" si="159"/>
        <v>0</v>
      </c>
      <c r="J231" s="6">
        <f t="shared" si="160"/>
        <v>0</v>
      </c>
      <c r="K231" s="23">
        <f t="shared" si="161"/>
        <v>0</v>
      </c>
      <c r="L231" s="219"/>
      <c r="M231" s="220"/>
      <c r="N231" s="219"/>
      <c r="O231" s="220"/>
      <c r="P231" s="39">
        <f t="shared" si="162"/>
        <v>0</v>
      </c>
      <c r="Q231" s="71"/>
      <c r="R231" s="94">
        <f t="shared" si="154"/>
        <v>0</v>
      </c>
      <c r="S231" s="94" t="b">
        <f t="shared" si="163"/>
        <v>0</v>
      </c>
      <c r="T231" s="24"/>
      <c r="U231" s="25"/>
      <c r="V231" s="109">
        <v>0</v>
      </c>
      <c r="W231" s="114">
        <f t="shared" si="155"/>
        <v>46110</v>
      </c>
      <c r="X231" s="21" t="str">
        <f t="shared" si="164"/>
        <v>So</v>
      </c>
    </row>
    <row r="232" spans="2:32" x14ac:dyDescent="0.25">
      <c r="F232" s="183"/>
      <c r="G232" s="18"/>
      <c r="H232" s="18"/>
      <c r="I232" s="19"/>
      <c r="J232" s="19"/>
      <c r="K232" s="18"/>
      <c r="L232" s="18"/>
      <c r="M232" s="18"/>
      <c r="N232" s="20"/>
      <c r="O232" s="20"/>
      <c r="P232" s="18"/>
      <c r="Q232" s="145">
        <f>D225</f>
        <v>46104</v>
      </c>
      <c r="R232" s="145">
        <f>D226</f>
        <v>46105</v>
      </c>
      <c r="S232" s="145">
        <f>D227</f>
        <v>46106</v>
      </c>
      <c r="T232" s="145">
        <f>D228</f>
        <v>46107</v>
      </c>
      <c r="U232" s="145">
        <f>D229</f>
        <v>46108</v>
      </c>
      <c r="V232" s="145">
        <f>D230</f>
        <v>46109</v>
      </c>
      <c r="W232" s="145">
        <f>D231</f>
        <v>46110</v>
      </c>
      <c r="Z232" s="84" t="s">
        <v>208</v>
      </c>
      <c r="AA232" s="85"/>
      <c r="AB232" s="85"/>
      <c r="AC232" s="85"/>
      <c r="AD232" s="85"/>
      <c r="AE232" s="85"/>
      <c r="AF232" s="86"/>
    </row>
    <row r="233" spans="2:32" x14ac:dyDescent="0.25">
      <c r="D233" s="51" t="s">
        <v>30</v>
      </c>
      <c r="E233" s="184" t="s">
        <v>8</v>
      </c>
      <c r="F233" s="184" t="s">
        <v>97</v>
      </c>
      <c r="G233" s="8" t="s">
        <v>98</v>
      </c>
      <c r="H233" s="51" t="s">
        <v>9</v>
      </c>
      <c r="I233" s="8" t="s">
        <v>10</v>
      </c>
      <c r="J233" s="8" t="s">
        <v>11</v>
      </c>
      <c r="K233" s="8" t="s">
        <v>99</v>
      </c>
      <c r="L233" s="8" t="s">
        <v>100</v>
      </c>
      <c r="M233" s="8" t="s">
        <v>101</v>
      </c>
      <c r="N233" s="8" t="s">
        <v>102</v>
      </c>
      <c r="O233" s="8"/>
      <c r="P233" s="8" t="s">
        <v>90</v>
      </c>
      <c r="Q233" s="8" t="s">
        <v>60</v>
      </c>
      <c r="R233" s="8" t="s">
        <v>61</v>
      </c>
      <c r="S233" s="8" t="s">
        <v>62</v>
      </c>
      <c r="T233" s="8" t="s">
        <v>63</v>
      </c>
      <c r="U233" s="8" t="s">
        <v>64</v>
      </c>
      <c r="V233" s="8" t="s">
        <v>65</v>
      </c>
      <c r="W233" s="8" t="s">
        <v>66</v>
      </c>
      <c r="Z233" s="8" t="s">
        <v>60</v>
      </c>
      <c r="AA233" s="8" t="s">
        <v>61</v>
      </c>
      <c r="AB233" s="8" t="s">
        <v>62</v>
      </c>
      <c r="AC233" s="8" t="s">
        <v>63</v>
      </c>
      <c r="AD233" s="8" t="s">
        <v>64</v>
      </c>
      <c r="AE233" s="8" t="s">
        <v>65</v>
      </c>
      <c r="AF233" s="8" t="s">
        <v>66</v>
      </c>
    </row>
    <row r="234" spans="2:32" x14ac:dyDescent="0.25">
      <c r="D234" s="1" t="s">
        <v>95</v>
      </c>
      <c r="E234" s="179"/>
      <c r="F234" s="179"/>
      <c r="G234" s="1"/>
      <c r="H234" s="42"/>
      <c r="I234" s="42" t="str">
        <f>IF($D234="","",IF(VLOOKUP($D234,TaskNEU!$B$3:$D$36,3,FALSE)="","",VLOOKUP($D234,TaskNEU!$B$3:$D$36,3,FALSE)))</f>
        <v/>
      </c>
      <c r="J234" s="1"/>
      <c r="K234" s="1"/>
      <c r="L234" s="1"/>
      <c r="M234" s="1"/>
      <c r="N234" s="1"/>
      <c r="O234" s="1"/>
      <c r="P234" s="91">
        <f>SUM(Q234:W234)</f>
        <v>0</v>
      </c>
      <c r="Q234" s="91"/>
      <c r="R234" s="91"/>
      <c r="S234" s="91"/>
      <c r="T234" s="91"/>
      <c r="U234" s="91"/>
      <c r="V234" s="91"/>
      <c r="W234" s="91"/>
      <c r="Z234" s="123"/>
      <c r="AA234" s="123"/>
      <c r="AB234" s="123"/>
      <c r="AC234" s="123"/>
      <c r="AD234" s="123"/>
      <c r="AE234" s="123"/>
      <c r="AF234" s="123"/>
    </row>
    <row r="235" spans="2:32" x14ac:dyDescent="0.25">
      <c r="D235" s="1" t="s">
        <v>79</v>
      </c>
      <c r="E235" s="179"/>
      <c r="F235" s="179"/>
      <c r="G235" s="1"/>
      <c r="H235" s="42"/>
      <c r="I235" s="42">
        <f>IF($D235="","",IF(VLOOKUP($D235,TaskNEU!$B$3:$D$36,3,FALSE)="","",VLOOKUP($D235,TaskNEU!$B$3:$D$36,3,FALSE)))</f>
        <v>900920</v>
      </c>
      <c r="J235" s="92"/>
      <c r="K235" s="1"/>
      <c r="L235" s="1"/>
      <c r="M235" s="1"/>
      <c r="N235" s="1"/>
      <c r="O235" s="1"/>
      <c r="P235" s="91">
        <f>SUM(Q235:W235)</f>
        <v>0</v>
      </c>
      <c r="Q235" s="91"/>
      <c r="R235" s="91"/>
      <c r="S235" s="91"/>
      <c r="T235" s="91"/>
      <c r="U235" s="91"/>
      <c r="V235" s="91"/>
      <c r="W235" s="91"/>
      <c r="Z235" s="123"/>
      <c r="AA235" s="123"/>
      <c r="AB235" s="123"/>
      <c r="AC235" s="123"/>
      <c r="AD235" s="123"/>
      <c r="AE235" s="123"/>
      <c r="AF235" s="123"/>
    </row>
    <row r="236" spans="2:32" x14ac:dyDescent="0.25">
      <c r="D236" s="1"/>
      <c r="E236" s="184"/>
      <c r="F236" s="184"/>
      <c r="G236" s="8"/>
      <c r="H236" s="51"/>
      <c r="I236" s="8"/>
      <c r="J236" s="8"/>
      <c r="K236" s="8"/>
      <c r="L236" s="8"/>
      <c r="M236" s="8"/>
      <c r="N236" s="8"/>
      <c r="O236" s="8"/>
      <c r="P236" s="91">
        <f>SUM(Q236:W236)</f>
        <v>0</v>
      </c>
      <c r="Q236" s="41">
        <v>0</v>
      </c>
      <c r="R236" s="41">
        <v>0</v>
      </c>
      <c r="S236" s="41">
        <v>0</v>
      </c>
      <c r="T236" s="41">
        <v>0</v>
      </c>
      <c r="U236" s="41">
        <v>0</v>
      </c>
      <c r="V236" s="41">
        <v>0</v>
      </c>
      <c r="W236" s="41">
        <v>0</v>
      </c>
      <c r="Z236" s="124"/>
      <c r="AA236" s="124"/>
      <c r="AB236" s="124"/>
      <c r="AC236" s="124"/>
      <c r="AD236" s="124"/>
      <c r="AE236" s="124"/>
      <c r="AF236" s="124"/>
    </row>
    <row r="237" spans="2:32" x14ac:dyDescent="0.25">
      <c r="D237" s="1"/>
      <c r="E237" s="184" t="str">
        <f t="shared" ref="E237:E246" si="165">IF(D237="","","1010V07213")</f>
        <v/>
      </c>
      <c r="F237" s="184" t="str">
        <f t="shared" ref="F237:F246" si="166">IF(D237="","","1000")</f>
        <v/>
      </c>
      <c r="G237" s="8" t="str">
        <f t="shared" ref="G237:G246" si="167">IF(D237="","","310")</f>
        <v/>
      </c>
      <c r="H237" s="51"/>
      <c r="I237" s="8" t="str">
        <f>IF($D237="","",IF(VLOOKUP($D237,TaskNEU!$B$3:$D$36,3,FALSE)="","",VLOOKUP($D237,TaskNEU!$B$3:$D$36,3,FALSE)))</f>
        <v/>
      </c>
      <c r="J237" s="8" t="str">
        <f>IF($D237="","",IF(VLOOKUP($D237,TaskNEU!$B$10:$E$36,2,FALSE)="","",VLOOKUP($D237,TaskNEU!$B$10:$E$36,2,FALSE)))</f>
        <v/>
      </c>
      <c r="K237" s="8"/>
      <c r="L237" s="8" t="str">
        <f>IF($D237="","",IF(VLOOKUP($D237,TaskNEU!$B$10:$E$36,4,FALSE)="","",VLOOKUP($D237,TaskNEU!$B$10:$E$36,4,FALSE)))</f>
        <v/>
      </c>
      <c r="M237" s="8"/>
      <c r="N237" s="8" t="str">
        <f t="shared" ref="N237:N246" si="168">IF(D237="","","A238")</f>
        <v/>
      </c>
      <c r="O237" s="8"/>
      <c r="P237" s="91">
        <f t="shared" ref="P237:P246" si="169">SUM(Q237:W237)</f>
        <v>0</v>
      </c>
      <c r="Q237" s="41">
        <v>0</v>
      </c>
      <c r="R237" s="41">
        <v>0</v>
      </c>
      <c r="S237" s="41">
        <v>0</v>
      </c>
      <c r="T237" s="41">
        <v>0</v>
      </c>
      <c r="U237" s="41">
        <v>0</v>
      </c>
      <c r="V237" s="41">
        <v>0</v>
      </c>
      <c r="W237" s="41">
        <v>0</v>
      </c>
      <c r="Z237" s="124"/>
      <c r="AA237" s="124"/>
      <c r="AB237" s="124"/>
      <c r="AC237" s="124"/>
      <c r="AD237" s="124"/>
      <c r="AE237" s="124"/>
      <c r="AF237" s="124"/>
    </row>
    <row r="238" spans="2:32" x14ac:dyDescent="0.25">
      <c r="D238" s="1"/>
      <c r="E238" s="184" t="str">
        <f t="shared" si="165"/>
        <v/>
      </c>
      <c r="F238" s="184" t="str">
        <f t="shared" si="166"/>
        <v/>
      </c>
      <c r="G238" s="8" t="str">
        <f t="shared" si="167"/>
        <v/>
      </c>
      <c r="H238" s="51"/>
      <c r="I238" s="8" t="str">
        <f>IF($D238="","",IF(VLOOKUP($D238,TaskNEU!$B$3:$D$36,3,FALSE)="","",VLOOKUP($D238,TaskNEU!$B$3:$D$36,3,FALSE)))</f>
        <v/>
      </c>
      <c r="J238" s="8" t="str">
        <f>IF($D238="","",IF(VLOOKUP($D238,TaskNEU!$B$10:$E$36,2,FALSE)="","",VLOOKUP($D238,TaskNEU!$B$10:$E$36,2,FALSE)))</f>
        <v/>
      </c>
      <c r="K238" s="8"/>
      <c r="L238" s="8" t="str">
        <f>IF($D238="","",IF(VLOOKUP($D238,TaskNEU!$B$10:$E$36,4,FALSE)="","",VLOOKUP($D238,TaskNEU!$B$10:$E$36,4,FALSE)))</f>
        <v/>
      </c>
      <c r="M238" s="8"/>
      <c r="N238" s="8" t="str">
        <f t="shared" si="168"/>
        <v/>
      </c>
      <c r="O238" s="8"/>
      <c r="P238" s="91">
        <f t="shared" si="169"/>
        <v>0</v>
      </c>
      <c r="Q238" s="41">
        <v>0</v>
      </c>
      <c r="R238" s="41">
        <v>0</v>
      </c>
      <c r="S238" s="41">
        <v>0</v>
      </c>
      <c r="T238" s="41">
        <v>0</v>
      </c>
      <c r="U238" s="41">
        <v>0</v>
      </c>
      <c r="V238" s="41">
        <v>0</v>
      </c>
      <c r="W238" s="41">
        <v>0</v>
      </c>
      <c r="Z238" s="124"/>
      <c r="AA238" s="124"/>
      <c r="AB238" s="124"/>
      <c r="AC238" s="124"/>
      <c r="AD238" s="124"/>
      <c r="AE238" s="124"/>
      <c r="AF238" s="124"/>
    </row>
    <row r="239" spans="2:32" x14ac:dyDescent="0.25">
      <c r="D239" s="1"/>
      <c r="E239" s="184" t="str">
        <f t="shared" si="165"/>
        <v/>
      </c>
      <c r="F239" s="184" t="str">
        <f t="shared" si="166"/>
        <v/>
      </c>
      <c r="G239" s="8" t="str">
        <f t="shared" si="167"/>
        <v/>
      </c>
      <c r="H239" s="51"/>
      <c r="I239" s="8" t="str">
        <f>IF($D239="","",IF(VLOOKUP($D239,TaskNEU!$B$3:$D$36,3,FALSE)="","",VLOOKUP($D239,TaskNEU!$B$3:$D$36,3,FALSE)))</f>
        <v/>
      </c>
      <c r="J239" s="8" t="str">
        <f>IF($D239="","",IF(VLOOKUP($D239,TaskNEU!$B$10:$E$36,2,FALSE)="","",VLOOKUP($D239,TaskNEU!$B$10:$E$36,2,FALSE)))</f>
        <v/>
      </c>
      <c r="K239" s="8"/>
      <c r="L239" s="8" t="str">
        <f>IF($D239="","",IF(VLOOKUP($D239,TaskNEU!$B$10:$E$36,4,FALSE)="","",VLOOKUP($D239,TaskNEU!$B$10:$E$36,4,FALSE)))</f>
        <v/>
      </c>
      <c r="M239" s="8"/>
      <c r="N239" s="8" t="str">
        <f t="shared" si="168"/>
        <v/>
      </c>
      <c r="O239" s="8"/>
      <c r="P239" s="91">
        <f t="shared" si="169"/>
        <v>0</v>
      </c>
      <c r="Q239" s="41">
        <v>0</v>
      </c>
      <c r="R239" s="41">
        <v>0</v>
      </c>
      <c r="S239" s="41">
        <v>0</v>
      </c>
      <c r="T239" s="41">
        <v>0</v>
      </c>
      <c r="U239" s="41">
        <v>0</v>
      </c>
      <c r="V239" s="41">
        <v>0</v>
      </c>
      <c r="W239" s="41">
        <v>0</v>
      </c>
      <c r="Z239" s="124"/>
      <c r="AA239" s="124"/>
      <c r="AB239" s="124"/>
      <c r="AC239" s="124"/>
      <c r="AD239" s="124"/>
      <c r="AE239" s="124"/>
      <c r="AF239" s="124"/>
    </row>
    <row r="240" spans="2:32" x14ac:dyDescent="0.25">
      <c r="D240" s="1"/>
      <c r="E240" s="184" t="str">
        <f t="shared" si="165"/>
        <v/>
      </c>
      <c r="F240" s="184" t="str">
        <f t="shared" si="166"/>
        <v/>
      </c>
      <c r="G240" s="8" t="str">
        <f t="shared" si="167"/>
        <v/>
      </c>
      <c r="H240" s="51"/>
      <c r="I240" s="8" t="str">
        <f>IF($D240="","",IF(VLOOKUP($D240,TaskNEU!$B$3:$D$36,3,FALSE)="","",VLOOKUP($D240,TaskNEU!$B$3:$D$36,3,FALSE)))</f>
        <v/>
      </c>
      <c r="J240" s="8" t="str">
        <f>IF($D240="","",IF(VLOOKUP($D240,TaskNEU!$B$10:$E$36,2,FALSE)="","",VLOOKUP($D240,TaskNEU!$B$10:$E$36,2,FALSE)))</f>
        <v/>
      </c>
      <c r="K240" s="8"/>
      <c r="L240" s="8" t="str">
        <f>IF($D240="","",IF(VLOOKUP($D240,TaskNEU!$B$10:$E$36,4,FALSE)="","",VLOOKUP($D240,TaskNEU!$B$10:$E$36,4,FALSE)))</f>
        <v/>
      </c>
      <c r="M240" s="8"/>
      <c r="N240" s="8" t="str">
        <f t="shared" si="168"/>
        <v/>
      </c>
      <c r="O240" s="8"/>
      <c r="P240" s="91">
        <f t="shared" si="169"/>
        <v>0</v>
      </c>
      <c r="Q240" s="41">
        <v>0</v>
      </c>
      <c r="R240" s="41">
        <v>0</v>
      </c>
      <c r="S240" s="41">
        <v>0</v>
      </c>
      <c r="T240" s="41">
        <v>0</v>
      </c>
      <c r="U240" s="41">
        <v>0</v>
      </c>
      <c r="V240" s="41">
        <v>0</v>
      </c>
      <c r="W240" s="41">
        <v>0</v>
      </c>
      <c r="Z240" s="124"/>
      <c r="AA240" s="124"/>
      <c r="AB240" s="124"/>
      <c r="AC240" s="124"/>
      <c r="AD240" s="124"/>
      <c r="AE240" s="124"/>
      <c r="AF240" s="124"/>
    </row>
    <row r="241" spans="2:32" x14ac:dyDescent="0.25">
      <c r="D241" s="1"/>
      <c r="E241" s="184" t="str">
        <f t="shared" si="165"/>
        <v/>
      </c>
      <c r="F241" s="184" t="str">
        <f t="shared" si="166"/>
        <v/>
      </c>
      <c r="G241" s="8" t="str">
        <f t="shared" si="167"/>
        <v/>
      </c>
      <c r="H241" s="51"/>
      <c r="I241" s="8" t="str">
        <f>IF($D241="","",IF(VLOOKUP($D241,TaskNEU!$B$3:$D$36,3,FALSE)="","",VLOOKUP($D241,TaskNEU!$B$3:$D$36,3,FALSE)))</f>
        <v/>
      </c>
      <c r="J241" s="8" t="str">
        <f>IF($D241="","",IF(VLOOKUP($D241,TaskNEU!$B$10:$E$36,2,FALSE)="","",VLOOKUP($D241,TaskNEU!$B$10:$E$36,2,FALSE)))</f>
        <v/>
      </c>
      <c r="K241" s="8"/>
      <c r="L241" s="8" t="str">
        <f>IF($D241="","",IF(VLOOKUP($D241,TaskNEU!$B$10:$E$36,4,FALSE)="","",VLOOKUP($D241,TaskNEU!$B$10:$E$36,4,FALSE)))</f>
        <v/>
      </c>
      <c r="M241" s="8"/>
      <c r="N241" s="8" t="str">
        <f t="shared" si="168"/>
        <v/>
      </c>
      <c r="O241" s="8"/>
      <c r="P241" s="91">
        <f t="shared" si="169"/>
        <v>0</v>
      </c>
      <c r="Q241" s="41">
        <v>0</v>
      </c>
      <c r="R241" s="41">
        <v>0</v>
      </c>
      <c r="S241" s="41">
        <v>0</v>
      </c>
      <c r="T241" s="41">
        <v>0</v>
      </c>
      <c r="U241" s="41">
        <v>0</v>
      </c>
      <c r="V241" s="41">
        <v>0</v>
      </c>
      <c r="W241" s="41">
        <v>0</v>
      </c>
      <c r="Z241" s="124"/>
      <c r="AA241" s="124"/>
      <c r="AB241" s="124"/>
      <c r="AC241" s="124"/>
      <c r="AD241" s="124"/>
      <c r="AE241" s="124"/>
      <c r="AF241" s="124"/>
    </row>
    <row r="242" spans="2:32" x14ac:dyDescent="0.25">
      <c r="D242" s="1"/>
      <c r="E242" s="184" t="str">
        <f t="shared" si="165"/>
        <v/>
      </c>
      <c r="F242" s="184" t="str">
        <f t="shared" si="166"/>
        <v/>
      </c>
      <c r="G242" s="8" t="str">
        <f t="shared" si="167"/>
        <v/>
      </c>
      <c r="H242" s="51"/>
      <c r="I242" s="8" t="str">
        <f>IF($D242="","",IF(VLOOKUP($D242,TaskNEU!$B$3:$D$36,3,FALSE)="","",VLOOKUP($D242,TaskNEU!$B$3:$D$36,3,FALSE)))</f>
        <v/>
      </c>
      <c r="J242" s="8" t="str">
        <f>IF($D242="","",IF(VLOOKUP($D242,TaskNEU!$B$10:$E$36,2,FALSE)="","",VLOOKUP($D242,TaskNEU!$B$10:$E$36,2,FALSE)))</f>
        <v/>
      </c>
      <c r="K242" s="8"/>
      <c r="L242" s="8" t="str">
        <f>IF($D242="","",IF(VLOOKUP($D242,TaskNEU!$B$10:$E$36,4,FALSE)="","",VLOOKUP($D242,TaskNEU!$B$10:$E$36,4,FALSE)))</f>
        <v/>
      </c>
      <c r="M242" s="8"/>
      <c r="N242" s="8" t="str">
        <f t="shared" si="168"/>
        <v/>
      </c>
      <c r="O242" s="8"/>
      <c r="P242" s="91">
        <f t="shared" si="169"/>
        <v>0</v>
      </c>
      <c r="Q242" s="41">
        <v>0</v>
      </c>
      <c r="R242" s="41">
        <v>0</v>
      </c>
      <c r="S242" s="41">
        <v>0</v>
      </c>
      <c r="T242" s="41">
        <v>0</v>
      </c>
      <c r="U242" s="41">
        <v>0</v>
      </c>
      <c r="V242" s="41">
        <v>0</v>
      </c>
      <c r="W242" s="41">
        <v>0</v>
      </c>
      <c r="Z242" s="124"/>
      <c r="AA242" s="124"/>
      <c r="AB242" s="124"/>
      <c r="AC242" s="124"/>
      <c r="AD242" s="124"/>
      <c r="AE242" s="124"/>
      <c r="AF242" s="124"/>
    </row>
    <row r="243" spans="2:32" x14ac:dyDescent="0.25">
      <c r="D243" s="1"/>
      <c r="E243" s="184" t="str">
        <f t="shared" si="165"/>
        <v/>
      </c>
      <c r="F243" s="184" t="str">
        <f t="shared" si="166"/>
        <v/>
      </c>
      <c r="G243" s="8" t="str">
        <f t="shared" si="167"/>
        <v/>
      </c>
      <c r="H243" s="51"/>
      <c r="I243" s="8" t="str">
        <f>IF($D243="","",IF(VLOOKUP($D243,TaskNEU!$B$3:$D$36,3,FALSE)="","",VLOOKUP($D243,TaskNEU!$B$3:$D$36,3,FALSE)))</f>
        <v/>
      </c>
      <c r="J243" s="8" t="str">
        <f>IF($D243="","",IF(VLOOKUP($D243,TaskNEU!$B$10:$E$36,2,FALSE)="","",VLOOKUP($D243,TaskNEU!$B$10:$E$36,2,FALSE)))</f>
        <v/>
      </c>
      <c r="K243" s="8"/>
      <c r="L243" s="8" t="str">
        <f>IF($D243="","",IF(VLOOKUP($D243,TaskNEU!$B$10:$E$36,4,FALSE)="","",VLOOKUP($D243,TaskNEU!$B$10:$E$36,4,FALSE)))</f>
        <v/>
      </c>
      <c r="M243" s="8"/>
      <c r="N243" s="8" t="str">
        <f t="shared" si="168"/>
        <v/>
      </c>
      <c r="O243" s="8"/>
      <c r="P243" s="91">
        <f t="shared" si="169"/>
        <v>0</v>
      </c>
      <c r="Q243" s="41">
        <v>0</v>
      </c>
      <c r="R243" s="41">
        <v>0</v>
      </c>
      <c r="S243" s="41">
        <v>0</v>
      </c>
      <c r="T243" s="41">
        <v>0</v>
      </c>
      <c r="U243" s="41">
        <v>0</v>
      </c>
      <c r="V243" s="41">
        <v>0</v>
      </c>
      <c r="W243" s="41">
        <v>0</v>
      </c>
      <c r="Z243" s="124"/>
      <c r="AA243" s="124"/>
      <c r="AB243" s="124"/>
      <c r="AC243" s="124"/>
      <c r="AD243" s="124"/>
      <c r="AE243" s="124"/>
      <c r="AF243" s="124"/>
    </row>
    <row r="244" spans="2:32" x14ac:dyDescent="0.25">
      <c r="D244" s="1"/>
      <c r="E244" s="184" t="str">
        <f t="shared" si="165"/>
        <v/>
      </c>
      <c r="F244" s="184" t="str">
        <f t="shared" si="166"/>
        <v/>
      </c>
      <c r="G244" s="8" t="str">
        <f t="shared" si="167"/>
        <v/>
      </c>
      <c r="H244" s="51"/>
      <c r="I244" s="8" t="str">
        <f>IF($D244="","",IF(VLOOKUP($D244,TaskNEU!$B$3:$D$36,3,FALSE)="","",VLOOKUP($D244,TaskNEU!$B$3:$D$36,3,FALSE)))</f>
        <v/>
      </c>
      <c r="J244" s="8" t="str">
        <f>IF($D244="","",IF(VLOOKUP($D244,TaskNEU!$B$10:$E$36,2,FALSE)="","",VLOOKUP($D244,TaskNEU!$B$10:$E$36,2,FALSE)))</f>
        <v/>
      </c>
      <c r="K244" s="8"/>
      <c r="L244" s="8" t="str">
        <f>IF($D244="","",IF(VLOOKUP($D244,TaskNEU!$B$10:$E$36,4,FALSE)="","",VLOOKUP($D244,TaskNEU!$B$10:$E$36,4,FALSE)))</f>
        <v/>
      </c>
      <c r="M244" s="8"/>
      <c r="N244" s="8" t="str">
        <f t="shared" si="168"/>
        <v/>
      </c>
      <c r="O244" s="8"/>
      <c r="P244" s="91">
        <f t="shared" si="169"/>
        <v>0</v>
      </c>
      <c r="Q244" s="41">
        <v>0</v>
      </c>
      <c r="R244" s="41">
        <v>0</v>
      </c>
      <c r="S244" s="41">
        <v>0</v>
      </c>
      <c r="T244" s="41">
        <v>0</v>
      </c>
      <c r="U244" s="41">
        <v>0</v>
      </c>
      <c r="V244" s="41">
        <v>0</v>
      </c>
      <c r="W244" s="41">
        <v>0</v>
      </c>
      <c r="Z244" s="124"/>
      <c r="AA244" s="124"/>
      <c r="AB244" s="124"/>
      <c r="AC244" s="124"/>
      <c r="AD244" s="124"/>
      <c r="AE244" s="124"/>
      <c r="AF244" s="124"/>
    </row>
    <row r="245" spans="2:32" x14ac:dyDescent="0.25">
      <c r="D245" s="1"/>
      <c r="E245" s="184" t="str">
        <f t="shared" si="165"/>
        <v/>
      </c>
      <c r="F245" s="184" t="str">
        <f t="shared" si="166"/>
        <v/>
      </c>
      <c r="G245" s="8" t="str">
        <f t="shared" si="167"/>
        <v/>
      </c>
      <c r="H245" s="51"/>
      <c r="I245" s="8" t="str">
        <f>IF($D245="","",IF(VLOOKUP($D245,TaskNEU!$B$3:$D$36,3,FALSE)="","",VLOOKUP($D245,TaskNEU!$B$3:$D$36,3,FALSE)))</f>
        <v/>
      </c>
      <c r="J245" s="8" t="str">
        <f>IF($D245="","",IF(VLOOKUP($D245,TaskNEU!$B$10:$E$36,2,FALSE)="","",VLOOKUP($D245,TaskNEU!$B$10:$E$36,2,FALSE)))</f>
        <v/>
      </c>
      <c r="K245" s="8"/>
      <c r="L245" s="8" t="str">
        <f>IF($D245="","",IF(VLOOKUP($D245,TaskNEU!$B$10:$E$36,4,FALSE)="","",VLOOKUP($D245,TaskNEU!$B$10:$E$36,4,FALSE)))</f>
        <v/>
      </c>
      <c r="M245" s="8"/>
      <c r="N245" s="8" t="str">
        <f t="shared" si="168"/>
        <v/>
      </c>
      <c r="O245" s="8"/>
      <c r="P245" s="91">
        <f t="shared" si="169"/>
        <v>0</v>
      </c>
      <c r="Q245" s="41">
        <v>0</v>
      </c>
      <c r="R245" s="41">
        <v>0</v>
      </c>
      <c r="S245" s="41">
        <v>0</v>
      </c>
      <c r="T245" s="41">
        <v>0</v>
      </c>
      <c r="U245" s="41">
        <v>0</v>
      </c>
      <c r="V245" s="41">
        <v>0</v>
      </c>
      <c r="W245" s="41">
        <v>0</v>
      </c>
      <c r="Z245" s="124"/>
      <c r="AA245" s="124"/>
      <c r="AB245" s="124"/>
      <c r="AC245" s="124"/>
      <c r="AD245" s="124"/>
      <c r="AE245" s="124"/>
      <c r="AF245" s="124"/>
    </row>
    <row r="246" spans="2:32" x14ac:dyDescent="0.25">
      <c r="D246" s="1"/>
      <c r="E246" s="184" t="str">
        <f t="shared" si="165"/>
        <v/>
      </c>
      <c r="F246" s="184" t="str">
        <f t="shared" si="166"/>
        <v/>
      </c>
      <c r="G246" s="8" t="str">
        <f t="shared" si="167"/>
        <v/>
      </c>
      <c r="H246" s="51"/>
      <c r="I246" s="8" t="str">
        <f>IF($D246="","",IF(VLOOKUP($D246,TaskNEU!$B$3:$D$36,3,FALSE)="","",VLOOKUP($D246,TaskNEU!$B$3:$D$36,3,FALSE)))</f>
        <v/>
      </c>
      <c r="J246" s="8" t="str">
        <f>IF($D246="","",IF(VLOOKUP($D246,TaskNEU!$B$10:$E$36,2,FALSE)="","",VLOOKUP($D246,TaskNEU!$B$10:$E$36,2,FALSE)))</f>
        <v/>
      </c>
      <c r="K246" s="8"/>
      <c r="L246" s="8" t="str">
        <f>IF($D246="","",IF(VLOOKUP($D246,TaskNEU!$B$10:$E$36,4,FALSE)="","",VLOOKUP($D246,TaskNEU!$B$10:$E$36,4,FALSE)))</f>
        <v/>
      </c>
      <c r="M246" s="8"/>
      <c r="N246" s="8" t="str">
        <f t="shared" si="168"/>
        <v/>
      </c>
      <c r="O246" s="8"/>
      <c r="P246" s="91">
        <f t="shared" si="169"/>
        <v>0</v>
      </c>
      <c r="Q246" s="41">
        <v>0</v>
      </c>
      <c r="R246" s="41">
        <v>0</v>
      </c>
      <c r="S246" s="41">
        <v>0</v>
      </c>
      <c r="T246" s="41">
        <v>0</v>
      </c>
      <c r="U246" s="41">
        <v>0</v>
      </c>
      <c r="V246" s="41">
        <v>0</v>
      </c>
      <c r="W246" s="41">
        <v>0</v>
      </c>
      <c r="Z246" s="124"/>
      <c r="AA246" s="124"/>
      <c r="AB246" s="124"/>
      <c r="AC246" s="124"/>
      <c r="AD246" s="124"/>
      <c r="AE246" s="124"/>
      <c r="AF246" s="124"/>
    </row>
    <row r="247" spans="2:32" ht="15.75" thickBot="1" x14ac:dyDescent="0.3">
      <c r="D247" s="56"/>
      <c r="E247" s="186"/>
      <c r="F247" s="186"/>
      <c r="G247" s="56"/>
      <c r="H247" s="56"/>
      <c r="I247" s="56"/>
      <c r="J247" s="56"/>
      <c r="K247" s="56"/>
      <c r="L247" s="56"/>
      <c r="M247" s="56"/>
      <c r="N247" s="56"/>
      <c r="O247" s="56"/>
      <c r="P247" s="73">
        <f>SUM(Q234:W246)</f>
        <v>0</v>
      </c>
      <c r="Q247" s="72">
        <f>SUM(Q234:Q246)</f>
        <v>0</v>
      </c>
      <c r="R247" s="72">
        <f t="shared" ref="R247:W247" si="170">SUM(R234:R246)</f>
        <v>0</v>
      </c>
      <c r="S247" s="72">
        <f t="shared" si="170"/>
        <v>0</v>
      </c>
      <c r="T247" s="72">
        <f t="shared" si="170"/>
        <v>0</v>
      </c>
      <c r="U247" s="72">
        <f t="shared" si="170"/>
        <v>0</v>
      </c>
      <c r="V247" s="72">
        <f t="shared" si="170"/>
        <v>0</v>
      </c>
      <c r="W247" s="72">
        <f t="shared" si="170"/>
        <v>0</v>
      </c>
      <c r="X247" s="118"/>
      <c r="Y247" s="56"/>
      <c r="Z247" s="56"/>
      <c r="AA247" s="56"/>
      <c r="AB247" s="56"/>
      <c r="AC247" s="56"/>
      <c r="AD247" s="56"/>
      <c r="AE247" s="56"/>
      <c r="AF247" s="56"/>
    </row>
    <row r="248" spans="2:32" x14ac:dyDescent="0.25">
      <c r="D248" s="55"/>
      <c r="E248" s="178"/>
      <c r="F248" s="178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55"/>
      <c r="W248" s="55"/>
    </row>
    <row r="249" spans="2:32" x14ac:dyDescent="0.25">
      <c r="B249" s="57"/>
      <c r="C249" s="58"/>
      <c r="D249" s="1" t="s">
        <v>40</v>
      </c>
      <c r="E249" s="179">
        <f>E222+1</f>
        <v>14</v>
      </c>
      <c r="F249" s="179" t="s">
        <v>0</v>
      </c>
      <c r="G249" s="2" t="e">
        <f>SUM(I252:I258)</f>
        <v>#REF!</v>
      </c>
      <c r="H249" s="221" t="s">
        <v>1</v>
      </c>
      <c r="I249" s="222"/>
      <c r="J249" s="2" t="e">
        <f>SUM(J252:J258)</f>
        <v>#REF!</v>
      </c>
      <c r="K249" s="67"/>
      <c r="L249" s="68"/>
      <c r="M249" s="35"/>
      <c r="N249" s="40" t="s">
        <v>57</v>
      </c>
      <c r="O249" s="8"/>
    </row>
    <row r="250" spans="2:32" x14ac:dyDescent="0.25">
      <c r="B250" s="59"/>
      <c r="C250" s="60"/>
      <c r="D250" s="1"/>
      <c r="E250" s="179"/>
      <c r="F250" s="180" t="s">
        <v>48</v>
      </c>
      <c r="G250" s="2">
        <f>SUM(Q252:Q258)/24</f>
        <v>0</v>
      </c>
      <c r="H250" s="52"/>
      <c r="I250" s="21" t="s">
        <v>58</v>
      </c>
      <c r="J250" s="2">
        <f>P274/24</f>
        <v>0</v>
      </c>
      <c r="K250" s="67"/>
      <c r="L250" s="69"/>
      <c r="M250" s="7"/>
      <c r="O250" s="8" t="s">
        <v>191</v>
      </c>
      <c r="Q250" s="93">
        <f>SUM(Q252:Q258)</f>
        <v>0</v>
      </c>
      <c r="R250" s="93" t="e">
        <f>SUM(R252:R258)</f>
        <v>#REF!</v>
      </c>
      <c r="S250" s="93" t="e">
        <f>SUM(S252:S258)</f>
        <v>#REF!</v>
      </c>
      <c r="T250" s="110" t="s">
        <v>188</v>
      </c>
      <c r="U250" s="58"/>
      <c r="V250" s="112" t="s">
        <v>189</v>
      </c>
    </row>
    <row r="251" spans="2:32" x14ac:dyDescent="0.25">
      <c r="B251" s="61"/>
      <c r="C251" s="62"/>
      <c r="D251" s="1" t="s">
        <v>2</v>
      </c>
      <c r="E251" s="179" t="s">
        <v>3</v>
      </c>
      <c r="F251" s="179" t="s">
        <v>4</v>
      </c>
      <c r="G251" s="1" t="s">
        <v>5</v>
      </c>
      <c r="H251" s="52" t="s">
        <v>6</v>
      </c>
      <c r="I251" s="52" t="s">
        <v>7</v>
      </c>
      <c r="J251" s="52" t="s">
        <v>45</v>
      </c>
      <c r="K251" s="1" t="s">
        <v>44</v>
      </c>
      <c r="L251" s="219" t="s">
        <v>21</v>
      </c>
      <c r="M251" s="220"/>
      <c r="N251" s="219" t="s">
        <v>18</v>
      </c>
      <c r="O251" s="220"/>
      <c r="P251" s="42" t="s">
        <v>56</v>
      </c>
      <c r="Q251" s="93" t="s">
        <v>138</v>
      </c>
      <c r="R251" s="52" t="s">
        <v>139</v>
      </c>
      <c r="S251" s="52" t="s">
        <v>140</v>
      </c>
      <c r="T251" s="111" t="s">
        <v>187</v>
      </c>
      <c r="U251" s="62"/>
      <c r="V251" s="113" t="s">
        <v>118</v>
      </c>
    </row>
    <row r="252" spans="2:32" x14ac:dyDescent="0.25">
      <c r="B252" s="21" t="str">
        <f>IF(C252=1,"Mo",IF(C252=2,"Di",IF(C252=3,"Mi",IF(C252=4,"Do",IF(C252=5,"Fr",IF(C252=6,"Sa",IF(C252=7,"So","")))))))</f>
        <v>Mo</v>
      </c>
      <c r="C252" s="1">
        <f>WEEKDAY(D252,2)</f>
        <v>1</v>
      </c>
      <c r="D252" s="3">
        <f>D225+7</f>
        <v>46111</v>
      </c>
      <c r="G252" s="5">
        <f t="shared" ref="G252:G258" si="171">IF(AND(H252&gt;6/24,H252&lt;=9.5/24),0.5/24,IF(H252&gt;9.5/24,0.75/24,0))</f>
        <v>0</v>
      </c>
      <c r="H252" s="22">
        <f>((IF(E253*24&gt;F253*24,F253*24+(24-E253*24),F253*24-E253*24))/24)-(V252/24)</f>
        <v>0</v>
      </c>
      <c r="I252" s="6">
        <f>H252-G252</f>
        <v>0</v>
      </c>
      <c r="J252" s="6">
        <f>IF(C252&lt;6,I252,0/24)</f>
        <v>0</v>
      </c>
      <c r="K252" s="23">
        <f>IF(C252&lt;5,((0.5+8.5+(E253*24))/24),IF(C252=5,((6+(E253*24))/24),))</f>
        <v>0.375</v>
      </c>
      <c r="L252" s="219"/>
      <c r="M252" s="220"/>
      <c r="N252" s="219"/>
      <c r="O252" s="220"/>
      <c r="P252" s="39">
        <f>IF(I252="","",I252*24)</f>
        <v>0</v>
      </c>
      <c r="Q252" s="71"/>
      <c r="R252" s="94" t="b">
        <f t="shared" ref="R252:R258" si="172">IF(C252&lt;5,(IF(P252&gt;8.5,P252-8.5)),IF(C252=5,(IF(P252&gt;6,P252-6)),IF(C252&gt;5,P252)))</f>
        <v>0</v>
      </c>
      <c r="S252" s="94">
        <f>IF(C252&lt;5,(IF(P252&lt;8.5,8.5-P252)),IF(C252=5,(IF(P252&lt;6,6-P252))))</f>
        <v>8.5</v>
      </c>
      <c r="T252" s="24"/>
      <c r="U252" s="25"/>
      <c r="V252" s="109">
        <v>0</v>
      </c>
      <c r="W252" s="114">
        <f t="shared" ref="W252:W258" si="173">D252</f>
        <v>46111</v>
      </c>
      <c r="X252" s="21" t="str">
        <f>B252</f>
        <v>Mo</v>
      </c>
    </row>
    <row r="253" spans="2:32" x14ac:dyDescent="0.25">
      <c r="B253" s="21" t="str">
        <f t="shared" ref="B253:B258" si="174">IF(C253=1,"Mo",IF(C253=2,"Di",IF(C253=3,"Mi",IF(C253=4,"Do",IF(C253=5,"Fr",IF(C253=6,"Sa",IF(C253=7,"So","")))))))</f>
        <v>Di</v>
      </c>
      <c r="C253" s="1">
        <f t="shared" ref="C253:C258" si="175">WEEKDAY(D253,2)</f>
        <v>2</v>
      </c>
      <c r="D253" s="3">
        <f t="shared" ref="D253:D258" si="176">D252+1</f>
        <v>46112</v>
      </c>
      <c r="E253" s="181">
        <v>0</v>
      </c>
      <c r="F253" s="182">
        <v>0</v>
      </c>
      <c r="G253" s="5">
        <f t="shared" si="171"/>
        <v>0</v>
      </c>
      <c r="H253" s="22">
        <f>((IF(E254*24&gt;F254*24,F254*24+(24-E254*24),F254*24-E254*24))/24)-(V253/24)</f>
        <v>0</v>
      </c>
      <c r="I253" s="6">
        <f t="shared" ref="I253:I258" si="177">H253-G253</f>
        <v>0</v>
      </c>
      <c r="J253" s="6">
        <f t="shared" ref="J253:J258" si="178">IF(C253&lt;6,I253,0/24)</f>
        <v>0</v>
      </c>
      <c r="K253" s="23">
        <f>IF(C253&lt;5,((0.5+8.5+(E254*24))/24),IF(C253=5,((6+(E254*24))/24),))</f>
        <v>0.375</v>
      </c>
      <c r="L253" s="219"/>
      <c r="M253" s="220"/>
      <c r="N253" s="219"/>
      <c r="O253" s="220"/>
      <c r="P253" s="39">
        <f t="shared" ref="P253:P258" si="179">IF(I253="","",I253*24)</f>
        <v>0</v>
      </c>
      <c r="Q253" s="71"/>
      <c r="R253" s="94" t="b">
        <f t="shared" si="172"/>
        <v>0</v>
      </c>
      <c r="S253" s="94">
        <f t="shared" ref="S253:S258" si="180">IF(C253&lt;5,(IF(P253&lt;8.5,8.5-P253)),IF(C253=5,(IF(P253&lt;6,6-P253))))</f>
        <v>8.5</v>
      </c>
      <c r="T253" s="24"/>
      <c r="U253" s="25"/>
      <c r="V253" s="109">
        <v>0</v>
      </c>
      <c r="W253" s="114">
        <f t="shared" si="173"/>
        <v>46112</v>
      </c>
      <c r="X253" s="21" t="str">
        <f t="shared" ref="X253:X258" si="181">B253</f>
        <v>Di</v>
      </c>
    </row>
    <row r="254" spans="2:32" x14ac:dyDescent="0.25">
      <c r="B254" s="21" t="str">
        <f t="shared" si="174"/>
        <v>Mi</v>
      </c>
      <c r="C254" s="1">
        <f t="shared" si="175"/>
        <v>3</v>
      </c>
      <c r="D254" s="3">
        <f t="shared" si="176"/>
        <v>46113</v>
      </c>
      <c r="E254" s="181">
        <v>0</v>
      </c>
      <c r="F254" s="182">
        <v>0</v>
      </c>
      <c r="G254" s="5">
        <f t="shared" si="171"/>
        <v>0</v>
      </c>
      <c r="H254" s="22">
        <f>((IF(E255*24&gt;F255*24,F255*24+(24-E255*24),F255*24-E255*24))/24)-(V254/24)</f>
        <v>0</v>
      </c>
      <c r="I254" s="6">
        <f t="shared" si="177"/>
        <v>0</v>
      </c>
      <c r="J254" s="6">
        <f t="shared" si="178"/>
        <v>0</v>
      </c>
      <c r="K254" s="23">
        <f>IF(C254&lt;5,((0.5+8.5+(E255*24))/24),IF(C254=5,((6+(E255*24))/24),))</f>
        <v>0.375</v>
      </c>
      <c r="L254" s="219"/>
      <c r="M254" s="220"/>
      <c r="N254" s="219"/>
      <c r="O254" s="220"/>
      <c r="P254" s="39">
        <f t="shared" si="179"/>
        <v>0</v>
      </c>
      <c r="Q254" s="71"/>
      <c r="R254" s="94" t="b">
        <f t="shared" si="172"/>
        <v>0</v>
      </c>
      <c r="S254" s="94">
        <f t="shared" si="180"/>
        <v>8.5</v>
      </c>
      <c r="T254" s="24"/>
      <c r="U254" s="25"/>
      <c r="V254" s="109">
        <v>0</v>
      </c>
      <c r="W254" s="114">
        <f t="shared" si="173"/>
        <v>46113</v>
      </c>
      <c r="X254" s="21" t="str">
        <f t="shared" si="181"/>
        <v>Mi</v>
      </c>
    </row>
    <row r="255" spans="2:32" x14ac:dyDescent="0.25">
      <c r="B255" s="21" t="str">
        <f t="shared" si="174"/>
        <v>Do</v>
      </c>
      <c r="C255" s="1">
        <f t="shared" si="175"/>
        <v>4</v>
      </c>
      <c r="D255" s="3">
        <f t="shared" si="176"/>
        <v>46114</v>
      </c>
      <c r="E255" s="181">
        <v>0</v>
      </c>
      <c r="F255" s="182">
        <v>0</v>
      </c>
      <c r="G255" s="5">
        <f t="shared" si="171"/>
        <v>0</v>
      </c>
      <c r="H255" s="22">
        <f>((IF(E256*24&gt;F256*24,F256*24+(24-E256*24),F256*24-E256*24))/24)-(V255/24)</f>
        <v>0</v>
      </c>
      <c r="I255" s="6">
        <f t="shared" si="177"/>
        <v>0</v>
      </c>
      <c r="J255" s="6">
        <f t="shared" si="178"/>
        <v>0</v>
      </c>
      <c r="K255" s="23">
        <f>IF(C255&lt;5,((0.5+8.5+(E256*24))/24),IF(C255=5,((6+(E256*24))/24),))</f>
        <v>0.375</v>
      </c>
      <c r="L255" s="219"/>
      <c r="M255" s="220"/>
      <c r="N255" s="219"/>
      <c r="O255" s="220"/>
      <c r="P255" s="39">
        <f t="shared" si="179"/>
        <v>0</v>
      </c>
      <c r="Q255" s="71"/>
      <c r="R255" s="94" t="b">
        <f t="shared" si="172"/>
        <v>0</v>
      </c>
      <c r="S255" s="94">
        <f t="shared" si="180"/>
        <v>8.5</v>
      </c>
      <c r="T255" s="24"/>
      <c r="U255" s="25"/>
      <c r="V255" s="109">
        <v>0</v>
      </c>
      <c r="W255" s="114">
        <f t="shared" si="173"/>
        <v>46114</v>
      </c>
      <c r="X255" s="21" t="str">
        <f t="shared" si="181"/>
        <v>Do</v>
      </c>
    </row>
    <row r="256" spans="2:32" x14ac:dyDescent="0.25">
      <c r="B256" s="21" t="str">
        <f t="shared" si="174"/>
        <v>Fr</v>
      </c>
      <c r="C256" s="1">
        <f t="shared" si="175"/>
        <v>5</v>
      </c>
      <c r="D256" s="3">
        <f t="shared" si="176"/>
        <v>46115</v>
      </c>
      <c r="E256" s="181">
        <v>0</v>
      </c>
      <c r="F256" s="182">
        <v>0</v>
      </c>
      <c r="G256" s="5" t="e">
        <f t="shared" si="171"/>
        <v>#REF!</v>
      </c>
      <c r="H256" s="22" t="e">
        <f>((IF(#REF!*24&gt;#REF!*24,#REF!*24+(24-#REF!*24),#REF!*24-#REF!*24))/24)-(V256/24)</f>
        <v>#REF!</v>
      </c>
      <c r="I256" s="6" t="e">
        <f t="shared" si="177"/>
        <v>#REF!</v>
      </c>
      <c r="J256" s="6" t="e">
        <f t="shared" si="178"/>
        <v>#REF!</v>
      </c>
      <c r="K256" s="23" t="e">
        <f>IF(C256&lt;5,((0.5+8.5+(#REF!*24))/24),IF(C256=5,((6+(#REF!*24))/24),))</f>
        <v>#REF!</v>
      </c>
      <c r="L256" s="219"/>
      <c r="M256" s="220"/>
      <c r="N256" s="219" t="s">
        <v>25</v>
      </c>
      <c r="O256" s="220"/>
      <c r="P256" s="39" t="e">
        <f t="shared" si="179"/>
        <v>#REF!</v>
      </c>
      <c r="Q256" s="71"/>
      <c r="R256" s="94" t="e">
        <f t="shared" si="172"/>
        <v>#REF!</v>
      </c>
      <c r="S256" s="94" t="e">
        <f t="shared" si="180"/>
        <v>#REF!</v>
      </c>
      <c r="T256" s="24"/>
      <c r="U256" s="25"/>
      <c r="V256" s="109">
        <v>0</v>
      </c>
      <c r="W256" s="114">
        <f t="shared" si="173"/>
        <v>46115</v>
      </c>
      <c r="X256" s="21" t="str">
        <f t="shared" si="181"/>
        <v>Fr</v>
      </c>
    </row>
    <row r="257" spans="2:32" x14ac:dyDescent="0.25">
      <c r="B257" s="21" t="str">
        <f t="shared" si="174"/>
        <v>Sa</v>
      </c>
      <c r="C257" s="1">
        <f t="shared" si="175"/>
        <v>6</v>
      </c>
      <c r="D257" s="3">
        <f t="shared" si="176"/>
        <v>46116</v>
      </c>
      <c r="E257" s="181"/>
      <c r="F257" s="182"/>
      <c r="G257" s="5">
        <f t="shared" si="171"/>
        <v>0</v>
      </c>
      <c r="H257" s="22">
        <f t="shared" ref="H257:H258" si="182">((IF(E257*24&gt;F257*24,F257*24+(24-E257*24),F257*24-E257*24))/24)-(V257/24)</f>
        <v>0</v>
      </c>
      <c r="I257" s="6">
        <f t="shared" si="177"/>
        <v>0</v>
      </c>
      <c r="J257" s="6">
        <f t="shared" si="178"/>
        <v>0</v>
      </c>
      <c r="K257" s="23">
        <f t="shared" ref="K257:K258" si="183">IF(C257&lt;5,((0.5+8.5+(E257*24))/24),IF(C257=5,((6+(E257*24))/24),))</f>
        <v>0</v>
      </c>
      <c r="L257" s="219"/>
      <c r="M257" s="220"/>
      <c r="N257" s="219"/>
      <c r="O257" s="220"/>
      <c r="P257" s="39">
        <f t="shared" si="179"/>
        <v>0</v>
      </c>
      <c r="Q257" s="71"/>
      <c r="R257" s="94">
        <f t="shared" si="172"/>
        <v>0</v>
      </c>
      <c r="S257" s="94" t="b">
        <f t="shared" si="180"/>
        <v>0</v>
      </c>
      <c r="T257" s="24"/>
      <c r="U257" s="25"/>
      <c r="V257" s="109">
        <v>0</v>
      </c>
      <c r="W257" s="114">
        <f t="shared" si="173"/>
        <v>46116</v>
      </c>
      <c r="X257" s="21" t="str">
        <f t="shared" si="181"/>
        <v>Sa</v>
      </c>
    </row>
    <row r="258" spans="2:32" x14ac:dyDescent="0.25">
      <c r="B258" s="21" t="str">
        <f t="shared" si="174"/>
        <v>So</v>
      </c>
      <c r="C258" s="1">
        <f t="shared" si="175"/>
        <v>7</v>
      </c>
      <c r="D258" s="3">
        <f t="shared" si="176"/>
        <v>46117</v>
      </c>
      <c r="E258" s="181"/>
      <c r="F258" s="182"/>
      <c r="G258" s="5">
        <f t="shared" si="171"/>
        <v>0</v>
      </c>
      <c r="H258" s="22">
        <f t="shared" si="182"/>
        <v>0</v>
      </c>
      <c r="I258" s="6">
        <f t="shared" si="177"/>
        <v>0</v>
      </c>
      <c r="J258" s="6">
        <f t="shared" si="178"/>
        <v>0</v>
      </c>
      <c r="K258" s="23">
        <f t="shared" si="183"/>
        <v>0</v>
      </c>
      <c r="L258" s="219"/>
      <c r="M258" s="220"/>
      <c r="N258" s="219"/>
      <c r="O258" s="220"/>
      <c r="P258" s="39">
        <f t="shared" si="179"/>
        <v>0</v>
      </c>
      <c r="Q258" s="71"/>
      <c r="R258" s="94">
        <f t="shared" si="172"/>
        <v>0</v>
      </c>
      <c r="S258" s="94" t="b">
        <f t="shared" si="180"/>
        <v>0</v>
      </c>
      <c r="T258" s="24"/>
      <c r="U258" s="25"/>
      <c r="V258" s="109">
        <v>0</v>
      </c>
      <c r="W258" s="114">
        <f t="shared" si="173"/>
        <v>46117</v>
      </c>
      <c r="X258" s="21" t="str">
        <f t="shared" si="181"/>
        <v>So</v>
      </c>
    </row>
    <row r="259" spans="2:32" x14ac:dyDescent="0.25">
      <c r="F259" s="183"/>
      <c r="G259" s="18"/>
      <c r="H259" s="18"/>
      <c r="I259" s="19"/>
      <c r="J259" s="19"/>
      <c r="K259" s="18"/>
      <c r="L259" s="18"/>
      <c r="M259" s="18"/>
      <c r="N259" s="20"/>
      <c r="O259" s="20"/>
      <c r="P259" s="18"/>
      <c r="Q259" s="145">
        <f>D252</f>
        <v>46111</v>
      </c>
      <c r="R259" s="145">
        <f>D253</f>
        <v>46112</v>
      </c>
      <c r="S259" s="145">
        <f>D254</f>
        <v>46113</v>
      </c>
      <c r="T259" s="145">
        <f>D255</f>
        <v>46114</v>
      </c>
      <c r="U259" s="145">
        <f>D256</f>
        <v>46115</v>
      </c>
      <c r="V259" s="145">
        <f>D257</f>
        <v>46116</v>
      </c>
      <c r="W259" s="145">
        <f>D258</f>
        <v>46117</v>
      </c>
      <c r="Z259" s="84" t="s">
        <v>208</v>
      </c>
      <c r="AA259" s="85"/>
      <c r="AB259" s="85"/>
      <c r="AC259" s="85"/>
      <c r="AD259" s="85"/>
      <c r="AE259" s="85"/>
      <c r="AF259" s="86"/>
    </row>
    <row r="260" spans="2:32" x14ac:dyDescent="0.25">
      <c r="D260" s="51" t="s">
        <v>30</v>
      </c>
      <c r="E260" s="184" t="s">
        <v>8</v>
      </c>
      <c r="F260" s="184" t="s">
        <v>97</v>
      </c>
      <c r="G260" s="8" t="s">
        <v>98</v>
      </c>
      <c r="H260" s="51" t="s">
        <v>9</v>
      </c>
      <c r="I260" s="8" t="s">
        <v>10</v>
      </c>
      <c r="J260" s="8" t="s">
        <v>11</v>
      </c>
      <c r="K260" s="8" t="s">
        <v>99</v>
      </c>
      <c r="L260" s="8" t="s">
        <v>100</v>
      </c>
      <c r="M260" s="8" t="s">
        <v>101</v>
      </c>
      <c r="N260" s="8" t="s">
        <v>102</v>
      </c>
      <c r="O260" s="8"/>
      <c r="P260" s="8" t="s">
        <v>90</v>
      </c>
      <c r="Q260" s="8" t="s">
        <v>60</v>
      </c>
      <c r="R260" s="8" t="s">
        <v>61</v>
      </c>
      <c r="S260" s="8" t="s">
        <v>62</v>
      </c>
      <c r="T260" s="8" t="s">
        <v>63</v>
      </c>
      <c r="U260" s="8" t="s">
        <v>64</v>
      </c>
      <c r="V260" s="8" t="s">
        <v>65</v>
      </c>
      <c r="W260" s="8" t="s">
        <v>66</v>
      </c>
      <c r="Z260" s="8" t="s">
        <v>60</v>
      </c>
      <c r="AA260" s="8" t="s">
        <v>61</v>
      </c>
      <c r="AB260" s="8" t="s">
        <v>62</v>
      </c>
      <c r="AC260" s="8" t="s">
        <v>63</v>
      </c>
      <c r="AD260" s="8" t="s">
        <v>64</v>
      </c>
      <c r="AE260" s="8" t="s">
        <v>65</v>
      </c>
      <c r="AF260" s="8" t="s">
        <v>66</v>
      </c>
    </row>
    <row r="261" spans="2:32" x14ac:dyDescent="0.25">
      <c r="D261" s="1" t="s">
        <v>95</v>
      </c>
      <c r="E261" s="179"/>
      <c r="F261" s="179"/>
      <c r="G261" s="1"/>
      <c r="H261" s="42"/>
      <c r="I261" s="42" t="str">
        <f>IF($D261="","",IF(VLOOKUP($D261,TaskNEU!$B$3:$D$36,3,FALSE)="","",VLOOKUP($D261,TaskNEU!$B$3:$D$36,3,FALSE)))</f>
        <v/>
      </c>
      <c r="J261" s="1"/>
      <c r="K261" s="1"/>
      <c r="L261" s="1"/>
      <c r="M261" s="1"/>
      <c r="N261" s="1"/>
      <c r="O261" s="1"/>
      <c r="P261" s="91">
        <f>SUM(Q261:W261)</f>
        <v>0</v>
      </c>
      <c r="Q261" s="91"/>
      <c r="R261" s="91"/>
      <c r="S261" s="91"/>
      <c r="T261" s="91"/>
      <c r="U261" s="91"/>
      <c r="V261" s="91"/>
      <c r="W261" s="91"/>
      <c r="Z261" s="123"/>
      <c r="AA261" s="123"/>
      <c r="AB261" s="123"/>
      <c r="AC261" s="123"/>
      <c r="AD261" s="123"/>
      <c r="AE261" s="123"/>
      <c r="AF261" s="123"/>
    </row>
    <row r="262" spans="2:32" x14ac:dyDescent="0.25">
      <c r="D262" s="1"/>
      <c r="E262" s="179"/>
      <c r="F262" s="179"/>
      <c r="G262" s="1"/>
      <c r="H262" s="42"/>
      <c r="I262" s="42"/>
      <c r="J262" s="92"/>
      <c r="K262" s="1"/>
      <c r="L262" s="1"/>
      <c r="M262" s="1"/>
      <c r="N262" s="1"/>
      <c r="O262" s="1"/>
      <c r="P262" s="91">
        <f>SUM(Q262:W262)</f>
        <v>0</v>
      </c>
      <c r="Q262" s="91"/>
      <c r="R262" s="91"/>
      <c r="S262" s="91"/>
      <c r="T262" s="91"/>
      <c r="U262" s="91"/>
      <c r="V262" s="91"/>
      <c r="W262" s="91"/>
      <c r="Z262" s="123"/>
      <c r="AA262" s="123"/>
      <c r="AB262" s="123"/>
      <c r="AC262" s="123"/>
      <c r="AD262" s="123"/>
      <c r="AE262" s="123"/>
      <c r="AF262" s="123"/>
    </row>
    <row r="263" spans="2:32" x14ac:dyDescent="0.25">
      <c r="D263" s="1"/>
      <c r="E263" s="184"/>
      <c r="F263" s="184"/>
      <c r="G263" s="8"/>
      <c r="H263" s="51"/>
      <c r="I263" s="8"/>
      <c r="J263" s="8"/>
      <c r="K263" s="8"/>
      <c r="L263" s="8"/>
      <c r="M263" s="8"/>
      <c r="N263" s="8"/>
      <c r="O263" s="8"/>
      <c r="P263" s="91">
        <f>SUM(Q263:W263)</f>
        <v>0</v>
      </c>
      <c r="Q263" s="41">
        <v>0</v>
      </c>
      <c r="R263" s="41">
        <v>0</v>
      </c>
      <c r="S263" s="41">
        <v>0</v>
      </c>
      <c r="T263" s="41">
        <v>0</v>
      </c>
      <c r="U263" s="41">
        <v>0</v>
      </c>
      <c r="V263" s="41">
        <v>0</v>
      </c>
      <c r="W263" s="41">
        <v>0</v>
      </c>
      <c r="Z263" s="124"/>
      <c r="AA263" s="124"/>
      <c r="AB263" s="124"/>
      <c r="AC263" s="124"/>
      <c r="AD263" s="124"/>
      <c r="AE263" s="124"/>
      <c r="AF263" s="124"/>
    </row>
    <row r="264" spans="2:32" x14ac:dyDescent="0.25">
      <c r="D264" s="1"/>
      <c r="E264" s="184" t="str">
        <f t="shared" ref="E264:E273" si="184">IF(D264="","","1010V07213")</f>
        <v/>
      </c>
      <c r="F264" s="184" t="str">
        <f t="shared" ref="F264:F273" si="185">IF(D264="","","1000")</f>
        <v/>
      </c>
      <c r="G264" s="8" t="str">
        <f t="shared" ref="G264:G273" si="186">IF(D264="","","310")</f>
        <v/>
      </c>
      <c r="H264" s="51"/>
      <c r="I264" s="8" t="str">
        <f>IF($D264="","",IF(VLOOKUP($D264,TaskNEU!$B$3:$D$36,3,FALSE)="","",VLOOKUP($D264,TaskNEU!$B$3:$D$36,3,FALSE)))</f>
        <v/>
      </c>
      <c r="J264" s="8" t="str">
        <f>IF($D264="","",IF(VLOOKUP($D264,TaskNEU!$B$10:$E$36,2,FALSE)="","",VLOOKUP($D264,TaskNEU!$B$10:$E$36,2,FALSE)))</f>
        <v/>
      </c>
      <c r="K264" s="8"/>
      <c r="L264" s="8" t="str">
        <f>IF($D264="","",IF(VLOOKUP($D264,TaskNEU!$B$10:$E$36,4,FALSE)="","",VLOOKUP($D264,TaskNEU!$B$10:$E$36,4,FALSE)))</f>
        <v/>
      </c>
      <c r="M264" s="8"/>
      <c r="N264" s="8" t="str">
        <f t="shared" ref="N264:N273" si="187">IF(D264="","","A238")</f>
        <v/>
      </c>
      <c r="O264" s="8"/>
      <c r="P264" s="91">
        <f t="shared" ref="P264:P273" si="188">SUM(Q264:W264)</f>
        <v>0</v>
      </c>
      <c r="Q264" s="41">
        <v>0</v>
      </c>
      <c r="R264" s="41">
        <v>0</v>
      </c>
      <c r="S264" s="41">
        <v>0</v>
      </c>
      <c r="T264" s="41">
        <v>0</v>
      </c>
      <c r="U264" s="41">
        <v>0</v>
      </c>
      <c r="V264" s="41">
        <v>0</v>
      </c>
      <c r="W264" s="41">
        <v>0</v>
      </c>
      <c r="Z264" s="124"/>
      <c r="AA264" s="124"/>
      <c r="AB264" s="124"/>
      <c r="AC264" s="124"/>
      <c r="AD264" s="124"/>
      <c r="AE264" s="124"/>
      <c r="AF264" s="124"/>
    </row>
    <row r="265" spans="2:32" x14ac:dyDescent="0.25">
      <c r="D265" s="1"/>
      <c r="E265" s="184" t="str">
        <f t="shared" si="184"/>
        <v/>
      </c>
      <c r="F265" s="184" t="str">
        <f t="shared" si="185"/>
        <v/>
      </c>
      <c r="G265" s="8" t="str">
        <f t="shared" si="186"/>
        <v/>
      </c>
      <c r="H265" s="51"/>
      <c r="I265" s="8" t="str">
        <f>IF($D265="","",IF(VLOOKUP($D265,TaskNEU!$B$3:$D$36,3,FALSE)="","",VLOOKUP($D265,TaskNEU!$B$3:$D$36,3,FALSE)))</f>
        <v/>
      </c>
      <c r="J265" s="8" t="str">
        <f>IF($D265="","",IF(VLOOKUP($D265,TaskNEU!$B$10:$E$36,2,FALSE)="","",VLOOKUP($D265,TaskNEU!$B$10:$E$36,2,FALSE)))</f>
        <v/>
      </c>
      <c r="K265" s="8"/>
      <c r="L265" s="8" t="str">
        <f>IF($D265="","",IF(VLOOKUP($D265,TaskNEU!$B$10:$E$36,4,FALSE)="","",VLOOKUP($D265,TaskNEU!$B$10:$E$36,4,FALSE)))</f>
        <v/>
      </c>
      <c r="M265" s="8"/>
      <c r="N265" s="8" t="str">
        <f t="shared" si="187"/>
        <v/>
      </c>
      <c r="O265" s="8"/>
      <c r="P265" s="91">
        <f t="shared" si="188"/>
        <v>0</v>
      </c>
      <c r="Q265" s="41">
        <v>0</v>
      </c>
      <c r="R265" s="41">
        <v>0</v>
      </c>
      <c r="S265" s="41">
        <v>0</v>
      </c>
      <c r="T265" s="41">
        <v>0</v>
      </c>
      <c r="U265" s="41">
        <v>0</v>
      </c>
      <c r="V265" s="41">
        <v>0</v>
      </c>
      <c r="W265" s="41">
        <v>0</v>
      </c>
      <c r="Z265" s="124"/>
      <c r="AA265" s="124"/>
      <c r="AB265" s="124"/>
      <c r="AC265" s="124"/>
      <c r="AD265" s="124"/>
      <c r="AE265" s="124"/>
      <c r="AF265" s="124"/>
    </row>
    <row r="266" spans="2:32" x14ac:dyDescent="0.25">
      <c r="D266" s="1"/>
      <c r="E266" s="184" t="str">
        <f t="shared" si="184"/>
        <v/>
      </c>
      <c r="F266" s="184" t="str">
        <f t="shared" si="185"/>
        <v/>
      </c>
      <c r="G266" s="8" t="str">
        <f t="shared" si="186"/>
        <v/>
      </c>
      <c r="H266" s="51"/>
      <c r="I266" s="8" t="str">
        <f>IF($D266="","",IF(VLOOKUP($D266,TaskNEU!$B$3:$D$36,3,FALSE)="","",VLOOKUP($D266,TaskNEU!$B$3:$D$36,3,FALSE)))</f>
        <v/>
      </c>
      <c r="J266" s="8" t="str">
        <f>IF($D266="","",IF(VLOOKUP($D266,TaskNEU!$B$10:$E$36,2,FALSE)="","",VLOOKUP($D266,TaskNEU!$B$10:$E$36,2,FALSE)))</f>
        <v/>
      </c>
      <c r="K266" s="8"/>
      <c r="L266" s="8" t="str">
        <f>IF($D266="","",IF(VLOOKUP($D266,TaskNEU!$B$10:$E$36,4,FALSE)="","",VLOOKUP($D266,TaskNEU!$B$10:$E$36,4,FALSE)))</f>
        <v/>
      </c>
      <c r="M266" s="8"/>
      <c r="N266" s="8" t="str">
        <f t="shared" si="187"/>
        <v/>
      </c>
      <c r="O266" s="8"/>
      <c r="P266" s="91">
        <f t="shared" si="188"/>
        <v>0</v>
      </c>
      <c r="Q266" s="41">
        <v>0</v>
      </c>
      <c r="R266" s="41">
        <v>0</v>
      </c>
      <c r="S266" s="41">
        <v>0</v>
      </c>
      <c r="T266" s="41">
        <v>0</v>
      </c>
      <c r="U266" s="41">
        <v>0</v>
      </c>
      <c r="V266" s="41">
        <v>0</v>
      </c>
      <c r="W266" s="41">
        <v>0</v>
      </c>
      <c r="Z266" s="124"/>
      <c r="AA266" s="124"/>
      <c r="AB266" s="124"/>
      <c r="AC266" s="124"/>
      <c r="AD266" s="124"/>
      <c r="AE266" s="124"/>
      <c r="AF266" s="124"/>
    </row>
    <row r="267" spans="2:32" x14ac:dyDescent="0.25">
      <c r="D267" s="1"/>
      <c r="E267" s="184" t="str">
        <f t="shared" si="184"/>
        <v/>
      </c>
      <c r="F267" s="184" t="str">
        <f t="shared" si="185"/>
        <v/>
      </c>
      <c r="G267" s="8" t="str">
        <f t="shared" si="186"/>
        <v/>
      </c>
      <c r="H267" s="51"/>
      <c r="I267" s="8" t="str">
        <f>IF($D267="","",IF(VLOOKUP($D267,TaskNEU!$B$3:$D$36,3,FALSE)="","",VLOOKUP($D267,TaskNEU!$B$3:$D$36,3,FALSE)))</f>
        <v/>
      </c>
      <c r="J267" s="8" t="str">
        <f>IF($D267="","",IF(VLOOKUP($D267,TaskNEU!$B$10:$E$36,2,FALSE)="","",VLOOKUP($D267,TaskNEU!$B$10:$E$36,2,FALSE)))</f>
        <v/>
      </c>
      <c r="K267" s="8"/>
      <c r="L267" s="8" t="str">
        <f>IF($D267="","",IF(VLOOKUP($D267,TaskNEU!$B$10:$E$36,4,FALSE)="","",VLOOKUP($D267,TaskNEU!$B$10:$E$36,4,FALSE)))</f>
        <v/>
      </c>
      <c r="M267" s="8"/>
      <c r="N267" s="8" t="str">
        <f t="shared" si="187"/>
        <v/>
      </c>
      <c r="O267" s="8"/>
      <c r="P267" s="91">
        <f t="shared" si="188"/>
        <v>0</v>
      </c>
      <c r="Q267" s="41">
        <v>0</v>
      </c>
      <c r="R267" s="41">
        <v>0</v>
      </c>
      <c r="S267" s="41">
        <v>0</v>
      </c>
      <c r="T267" s="41">
        <v>0</v>
      </c>
      <c r="U267" s="41">
        <v>0</v>
      </c>
      <c r="V267" s="41">
        <v>0</v>
      </c>
      <c r="W267" s="41">
        <v>0</v>
      </c>
      <c r="Z267" s="124"/>
      <c r="AA267" s="124"/>
      <c r="AB267" s="124"/>
      <c r="AC267" s="124"/>
      <c r="AD267" s="124"/>
      <c r="AE267" s="124"/>
      <c r="AF267" s="124"/>
    </row>
    <row r="268" spans="2:32" x14ac:dyDescent="0.25">
      <c r="D268" s="1"/>
      <c r="E268" s="184" t="str">
        <f t="shared" si="184"/>
        <v/>
      </c>
      <c r="F268" s="184" t="str">
        <f t="shared" si="185"/>
        <v/>
      </c>
      <c r="G268" s="8" t="str">
        <f t="shared" si="186"/>
        <v/>
      </c>
      <c r="H268" s="51"/>
      <c r="I268" s="8" t="str">
        <f>IF($D268="","",IF(VLOOKUP($D268,TaskNEU!$B$3:$D$36,3,FALSE)="","",VLOOKUP($D268,TaskNEU!$B$3:$D$36,3,FALSE)))</f>
        <v/>
      </c>
      <c r="J268" s="8" t="str">
        <f>IF($D268="","",IF(VLOOKUP($D268,TaskNEU!$B$10:$E$36,2,FALSE)="","",VLOOKUP($D268,TaskNEU!$B$10:$E$36,2,FALSE)))</f>
        <v/>
      </c>
      <c r="K268" s="8"/>
      <c r="L268" s="8" t="str">
        <f>IF($D268="","",IF(VLOOKUP($D268,TaskNEU!$B$10:$E$36,4,FALSE)="","",VLOOKUP($D268,TaskNEU!$B$10:$E$36,4,FALSE)))</f>
        <v/>
      </c>
      <c r="M268" s="8"/>
      <c r="N268" s="8" t="str">
        <f t="shared" si="187"/>
        <v/>
      </c>
      <c r="O268" s="8"/>
      <c r="P268" s="91">
        <f t="shared" si="188"/>
        <v>0</v>
      </c>
      <c r="Q268" s="41">
        <v>0</v>
      </c>
      <c r="R268" s="41">
        <v>0</v>
      </c>
      <c r="S268" s="41">
        <v>0</v>
      </c>
      <c r="T268" s="41">
        <v>0</v>
      </c>
      <c r="U268" s="41">
        <v>0</v>
      </c>
      <c r="V268" s="41">
        <v>0</v>
      </c>
      <c r="W268" s="41">
        <v>0</v>
      </c>
      <c r="Z268" s="124"/>
      <c r="AA268" s="124"/>
      <c r="AB268" s="124"/>
      <c r="AC268" s="124"/>
      <c r="AD268" s="124"/>
      <c r="AE268" s="124"/>
      <c r="AF268" s="124"/>
    </row>
    <row r="269" spans="2:32" x14ac:dyDescent="0.25">
      <c r="D269" s="1"/>
      <c r="E269" s="184" t="str">
        <f t="shared" si="184"/>
        <v/>
      </c>
      <c r="F269" s="184" t="str">
        <f t="shared" si="185"/>
        <v/>
      </c>
      <c r="G269" s="8" t="str">
        <f t="shared" si="186"/>
        <v/>
      </c>
      <c r="H269" s="51"/>
      <c r="I269" s="8" t="str">
        <f>IF($D269="","",IF(VLOOKUP($D269,TaskNEU!$B$3:$D$36,3,FALSE)="","",VLOOKUP($D269,TaskNEU!$B$3:$D$36,3,FALSE)))</f>
        <v/>
      </c>
      <c r="J269" s="8" t="str">
        <f>IF($D269="","",IF(VLOOKUP($D269,TaskNEU!$B$10:$E$36,2,FALSE)="","",VLOOKUP($D269,TaskNEU!$B$10:$E$36,2,FALSE)))</f>
        <v/>
      </c>
      <c r="K269" s="8"/>
      <c r="L269" s="8" t="str">
        <f>IF($D269="","",IF(VLOOKUP($D269,TaskNEU!$B$10:$E$36,4,FALSE)="","",VLOOKUP($D269,TaskNEU!$B$10:$E$36,4,FALSE)))</f>
        <v/>
      </c>
      <c r="M269" s="8"/>
      <c r="N269" s="8" t="str">
        <f t="shared" si="187"/>
        <v/>
      </c>
      <c r="O269" s="8"/>
      <c r="P269" s="91">
        <f t="shared" si="188"/>
        <v>0</v>
      </c>
      <c r="Q269" s="41">
        <v>0</v>
      </c>
      <c r="R269" s="41">
        <v>0</v>
      </c>
      <c r="S269" s="41">
        <v>0</v>
      </c>
      <c r="T269" s="41">
        <v>0</v>
      </c>
      <c r="U269" s="41">
        <v>0</v>
      </c>
      <c r="V269" s="41">
        <v>0</v>
      </c>
      <c r="W269" s="41">
        <v>0</v>
      </c>
      <c r="Z269" s="124"/>
      <c r="AA269" s="124"/>
      <c r="AB269" s="124"/>
      <c r="AC269" s="124"/>
      <c r="AD269" s="124"/>
      <c r="AE269" s="124"/>
      <c r="AF269" s="124"/>
    </row>
    <row r="270" spans="2:32" x14ac:dyDescent="0.25">
      <c r="D270" s="1"/>
      <c r="E270" s="184" t="str">
        <f t="shared" si="184"/>
        <v/>
      </c>
      <c r="F270" s="184" t="str">
        <f t="shared" si="185"/>
        <v/>
      </c>
      <c r="G270" s="8" t="str">
        <f t="shared" si="186"/>
        <v/>
      </c>
      <c r="H270" s="51"/>
      <c r="I270" s="8" t="str">
        <f>IF($D270="","",IF(VLOOKUP($D270,TaskNEU!$B$3:$D$36,3,FALSE)="","",VLOOKUP($D270,TaskNEU!$B$3:$D$36,3,FALSE)))</f>
        <v/>
      </c>
      <c r="J270" s="8" t="str">
        <f>IF($D270="","",IF(VLOOKUP($D270,TaskNEU!$B$10:$E$36,2,FALSE)="","",VLOOKUP($D270,TaskNEU!$B$10:$E$36,2,FALSE)))</f>
        <v/>
      </c>
      <c r="K270" s="8"/>
      <c r="L270" s="8" t="str">
        <f>IF($D270="","",IF(VLOOKUP($D270,TaskNEU!$B$10:$E$36,4,FALSE)="","",VLOOKUP($D270,TaskNEU!$B$10:$E$36,4,FALSE)))</f>
        <v/>
      </c>
      <c r="M270" s="8"/>
      <c r="N270" s="8" t="str">
        <f t="shared" si="187"/>
        <v/>
      </c>
      <c r="O270" s="8"/>
      <c r="P270" s="91">
        <f t="shared" si="188"/>
        <v>0</v>
      </c>
      <c r="Q270" s="41">
        <v>0</v>
      </c>
      <c r="R270" s="41">
        <v>0</v>
      </c>
      <c r="S270" s="41">
        <v>0</v>
      </c>
      <c r="T270" s="41">
        <v>0</v>
      </c>
      <c r="U270" s="41">
        <v>0</v>
      </c>
      <c r="V270" s="41">
        <v>0</v>
      </c>
      <c r="W270" s="41">
        <v>0</v>
      </c>
      <c r="Z270" s="124"/>
      <c r="AA270" s="124"/>
      <c r="AB270" s="124"/>
      <c r="AC270" s="124"/>
      <c r="AD270" s="124"/>
      <c r="AE270" s="124"/>
      <c r="AF270" s="124"/>
    </row>
    <row r="271" spans="2:32" x14ac:dyDescent="0.25">
      <c r="D271" s="1"/>
      <c r="E271" s="184" t="str">
        <f t="shared" si="184"/>
        <v/>
      </c>
      <c r="F271" s="184" t="str">
        <f t="shared" si="185"/>
        <v/>
      </c>
      <c r="G271" s="8" t="str">
        <f t="shared" si="186"/>
        <v/>
      </c>
      <c r="H271" s="51"/>
      <c r="I271" s="8" t="str">
        <f>IF($D271="","",IF(VLOOKUP($D271,TaskNEU!$B$3:$D$36,3,FALSE)="","",VLOOKUP($D271,TaskNEU!$B$3:$D$36,3,FALSE)))</f>
        <v/>
      </c>
      <c r="J271" s="8" t="str">
        <f>IF($D271="","",IF(VLOOKUP($D271,TaskNEU!$B$10:$E$36,2,FALSE)="","",VLOOKUP($D271,TaskNEU!$B$10:$E$36,2,FALSE)))</f>
        <v/>
      </c>
      <c r="K271" s="8"/>
      <c r="L271" s="8" t="str">
        <f>IF($D271="","",IF(VLOOKUP($D271,TaskNEU!$B$10:$E$36,4,FALSE)="","",VLOOKUP($D271,TaskNEU!$B$10:$E$36,4,FALSE)))</f>
        <v/>
      </c>
      <c r="M271" s="8"/>
      <c r="N271" s="8" t="str">
        <f t="shared" si="187"/>
        <v/>
      </c>
      <c r="O271" s="8"/>
      <c r="P271" s="91">
        <f t="shared" si="188"/>
        <v>0</v>
      </c>
      <c r="Q271" s="41">
        <v>0</v>
      </c>
      <c r="R271" s="41">
        <v>0</v>
      </c>
      <c r="S271" s="41">
        <v>0</v>
      </c>
      <c r="T271" s="41">
        <v>0</v>
      </c>
      <c r="U271" s="41">
        <v>0</v>
      </c>
      <c r="V271" s="41">
        <v>0</v>
      </c>
      <c r="W271" s="41">
        <v>0</v>
      </c>
      <c r="Z271" s="124"/>
      <c r="AA271" s="124"/>
      <c r="AB271" s="124"/>
      <c r="AC271" s="124"/>
      <c r="AD271" s="124"/>
      <c r="AE271" s="124"/>
      <c r="AF271" s="124"/>
    </row>
    <row r="272" spans="2:32" x14ac:dyDescent="0.25">
      <c r="D272" s="1"/>
      <c r="E272" s="184" t="str">
        <f t="shared" si="184"/>
        <v/>
      </c>
      <c r="F272" s="184" t="str">
        <f t="shared" si="185"/>
        <v/>
      </c>
      <c r="G272" s="8" t="str">
        <f t="shared" si="186"/>
        <v/>
      </c>
      <c r="H272" s="51"/>
      <c r="I272" s="8" t="str">
        <f>IF($D272="","",IF(VLOOKUP($D272,TaskNEU!$B$3:$D$36,3,FALSE)="","",VLOOKUP($D272,TaskNEU!$B$3:$D$36,3,FALSE)))</f>
        <v/>
      </c>
      <c r="J272" s="8" t="str">
        <f>IF($D272="","",IF(VLOOKUP($D272,TaskNEU!$B$10:$E$36,2,FALSE)="","",VLOOKUP($D272,TaskNEU!$B$10:$E$36,2,FALSE)))</f>
        <v/>
      </c>
      <c r="K272" s="8"/>
      <c r="L272" s="8" t="str">
        <f>IF($D272="","",IF(VLOOKUP($D272,TaskNEU!$B$10:$E$36,4,FALSE)="","",VLOOKUP($D272,TaskNEU!$B$10:$E$36,4,FALSE)))</f>
        <v/>
      </c>
      <c r="M272" s="8"/>
      <c r="N272" s="8" t="str">
        <f t="shared" si="187"/>
        <v/>
      </c>
      <c r="O272" s="8"/>
      <c r="P272" s="91">
        <f t="shared" si="188"/>
        <v>0</v>
      </c>
      <c r="Q272" s="41">
        <v>0</v>
      </c>
      <c r="R272" s="41">
        <v>0</v>
      </c>
      <c r="S272" s="41">
        <v>0</v>
      </c>
      <c r="T272" s="41">
        <v>0</v>
      </c>
      <c r="U272" s="41">
        <v>0</v>
      </c>
      <c r="V272" s="41">
        <v>0</v>
      </c>
      <c r="W272" s="41">
        <v>0</v>
      </c>
      <c r="Z272" s="124"/>
      <c r="AA272" s="124"/>
      <c r="AB272" s="124"/>
      <c r="AC272" s="124"/>
      <c r="AD272" s="124"/>
      <c r="AE272" s="124"/>
      <c r="AF272" s="124"/>
    </row>
    <row r="273" spans="4:32" x14ac:dyDescent="0.25">
      <c r="D273" s="1"/>
      <c r="E273" s="184" t="str">
        <f t="shared" si="184"/>
        <v/>
      </c>
      <c r="F273" s="184" t="str">
        <f t="shared" si="185"/>
        <v/>
      </c>
      <c r="G273" s="8" t="str">
        <f t="shared" si="186"/>
        <v/>
      </c>
      <c r="H273" s="51"/>
      <c r="I273" s="8" t="str">
        <f>IF($D273="","",IF(VLOOKUP($D273,TaskNEU!$B$3:$D$36,3,FALSE)="","",VLOOKUP($D273,TaskNEU!$B$3:$D$36,3,FALSE)))</f>
        <v/>
      </c>
      <c r="J273" s="8" t="str">
        <f>IF($D273="","",IF(VLOOKUP($D273,TaskNEU!$B$10:$E$36,2,FALSE)="","",VLOOKUP($D273,TaskNEU!$B$10:$E$36,2,FALSE)))</f>
        <v/>
      </c>
      <c r="K273" s="8"/>
      <c r="L273" s="8" t="str">
        <f>IF($D273="","",IF(VLOOKUP($D273,TaskNEU!$B$10:$E$36,4,FALSE)="","",VLOOKUP($D273,TaskNEU!$B$10:$E$36,4,FALSE)))</f>
        <v/>
      </c>
      <c r="M273" s="8"/>
      <c r="N273" s="8" t="str">
        <f t="shared" si="187"/>
        <v/>
      </c>
      <c r="O273" s="8"/>
      <c r="P273" s="91">
        <f t="shared" si="188"/>
        <v>0</v>
      </c>
      <c r="Q273" s="41">
        <v>0</v>
      </c>
      <c r="R273" s="41">
        <v>0</v>
      </c>
      <c r="S273" s="41">
        <v>0</v>
      </c>
      <c r="T273" s="41">
        <v>0</v>
      </c>
      <c r="U273" s="41">
        <v>0</v>
      </c>
      <c r="V273" s="41">
        <v>0</v>
      </c>
      <c r="W273" s="41">
        <v>0</v>
      </c>
      <c r="Z273" s="124"/>
      <c r="AA273" s="124"/>
      <c r="AB273" s="124"/>
      <c r="AC273" s="124"/>
      <c r="AD273" s="124"/>
      <c r="AE273" s="124"/>
      <c r="AF273" s="124"/>
    </row>
    <row r="274" spans="4:32" ht="15.75" thickBot="1" x14ac:dyDescent="0.3">
      <c r="D274" s="56"/>
      <c r="E274" s="186"/>
      <c r="F274" s="186"/>
      <c r="G274" s="56"/>
      <c r="H274" s="56"/>
      <c r="I274" s="56"/>
      <c r="J274" s="56"/>
      <c r="K274" s="56"/>
      <c r="L274" s="56"/>
      <c r="M274" s="56"/>
      <c r="N274" s="56"/>
      <c r="O274" s="56"/>
      <c r="P274" s="73">
        <f>SUM(Q261:W273)</f>
        <v>0</v>
      </c>
      <c r="Q274" s="72">
        <f>SUM(Q261:Q273)</f>
        <v>0</v>
      </c>
      <c r="R274" s="72">
        <f t="shared" ref="R274:W274" si="189">SUM(R261:R273)</f>
        <v>0</v>
      </c>
      <c r="S274" s="72">
        <f t="shared" si="189"/>
        <v>0</v>
      </c>
      <c r="T274" s="72">
        <f t="shared" si="189"/>
        <v>0</v>
      </c>
      <c r="U274" s="72">
        <f t="shared" si="189"/>
        <v>0</v>
      </c>
      <c r="V274" s="72">
        <f t="shared" si="189"/>
        <v>0</v>
      </c>
      <c r="W274" s="72">
        <f t="shared" si="189"/>
        <v>0</v>
      </c>
      <c r="X274" s="118"/>
      <c r="Y274" s="56"/>
      <c r="Z274" s="56"/>
      <c r="AA274" s="56"/>
      <c r="AB274" s="56"/>
      <c r="AC274" s="56"/>
      <c r="AD274" s="56"/>
      <c r="AE274" s="56"/>
      <c r="AF274" s="56"/>
    </row>
  </sheetData>
  <mergeCells count="170">
    <mergeCell ref="L9:M9"/>
    <mergeCell ref="N9:O9"/>
    <mergeCell ref="L10:M10"/>
    <mergeCell ref="N10:O10"/>
    <mergeCell ref="L11:M11"/>
    <mergeCell ref="N11:O11"/>
    <mergeCell ref="L12:M12"/>
    <mergeCell ref="N12:O12"/>
    <mergeCell ref="H3:I3"/>
    <mergeCell ref="L5:M5"/>
    <mergeCell ref="N5:O5"/>
    <mergeCell ref="L6:M6"/>
    <mergeCell ref="N6:O6"/>
    <mergeCell ref="L7:M7"/>
    <mergeCell ref="N7:O7"/>
    <mergeCell ref="L8:M8"/>
    <mergeCell ref="N8:O8"/>
    <mergeCell ref="L39:M39"/>
    <mergeCell ref="N39:O39"/>
    <mergeCell ref="H114:I114"/>
    <mergeCell ref="L116:M116"/>
    <mergeCell ref="N116:O116"/>
    <mergeCell ref="L117:M117"/>
    <mergeCell ref="N117:O117"/>
    <mergeCell ref="L118:M118"/>
    <mergeCell ref="N118:O118"/>
    <mergeCell ref="H60:I60"/>
    <mergeCell ref="L62:M62"/>
    <mergeCell ref="N62:O62"/>
    <mergeCell ref="L69:M69"/>
    <mergeCell ref="N69:O69"/>
    <mergeCell ref="L64:M64"/>
    <mergeCell ref="N64:O64"/>
    <mergeCell ref="L65:M65"/>
    <mergeCell ref="N65:O65"/>
    <mergeCell ref="L66:M66"/>
    <mergeCell ref="N66:O66"/>
    <mergeCell ref="L68:M68"/>
    <mergeCell ref="N68:O68"/>
    <mergeCell ref="L63:M63"/>
    <mergeCell ref="N63:O63"/>
    <mergeCell ref="H33:I33"/>
    <mergeCell ref="L35:M35"/>
    <mergeCell ref="N35:O35"/>
    <mergeCell ref="L36:M36"/>
    <mergeCell ref="N36:O36"/>
    <mergeCell ref="L37:M37"/>
    <mergeCell ref="N37:O37"/>
    <mergeCell ref="L38:M38"/>
    <mergeCell ref="N38:O38"/>
    <mergeCell ref="L41:M41"/>
    <mergeCell ref="L67:M67"/>
    <mergeCell ref="N67:O67"/>
    <mergeCell ref="N41:O41"/>
    <mergeCell ref="L42:M42"/>
    <mergeCell ref="N42:O42"/>
    <mergeCell ref="L40:M40"/>
    <mergeCell ref="N40:O40"/>
    <mergeCell ref="L91:M91"/>
    <mergeCell ref="N91:O91"/>
    <mergeCell ref="L92:M92"/>
    <mergeCell ref="N92:O92"/>
    <mergeCell ref="L93:M93"/>
    <mergeCell ref="N93:O93"/>
    <mergeCell ref="H87:I87"/>
    <mergeCell ref="L89:M89"/>
    <mergeCell ref="N89:O89"/>
    <mergeCell ref="L90:M90"/>
    <mergeCell ref="N90:O90"/>
    <mergeCell ref="H141:I141"/>
    <mergeCell ref="L143:M143"/>
    <mergeCell ref="N143:O143"/>
    <mergeCell ref="L144:M144"/>
    <mergeCell ref="N144:O144"/>
    <mergeCell ref="L94:M94"/>
    <mergeCell ref="N94:O94"/>
    <mergeCell ref="L95:M95"/>
    <mergeCell ref="N95:O95"/>
    <mergeCell ref="L96:M96"/>
    <mergeCell ref="N96:O96"/>
    <mergeCell ref="L119:M119"/>
    <mergeCell ref="N119:O119"/>
    <mergeCell ref="L120:M120"/>
    <mergeCell ref="N120:O120"/>
    <mergeCell ref="L121:M121"/>
    <mergeCell ref="N121:O121"/>
    <mergeCell ref="L122:M122"/>
    <mergeCell ref="N122:O122"/>
    <mergeCell ref="L123:M123"/>
    <mergeCell ref="N123:O123"/>
    <mergeCell ref="L148:M148"/>
    <mergeCell ref="N148:O148"/>
    <mergeCell ref="L149:M149"/>
    <mergeCell ref="N149:O149"/>
    <mergeCell ref="L150:M150"/>
    <mergeCell ref="N150:O150"/>
    <mergeCell ref="L145:M145"/>
    <mergeCell ref="N145:O145"/>
    <mergeCell ref="L146:M146"/>
    <mergeCell ref="N146:O146"/>
    <mergeCell ref="L147:M147"/>
    <mergeCell ref="N147:O147"/>
    <mergeCell ref="L172:M172"/>
    <mergeCell ref="N172:O172"/>
    <mergeCell ref="L173:M173"/>
    <mergeCell ref="N173:O173"/>
    <mergeCell ref="L174:M174"/>
    <mergeCell ref="N174:O174"/>
    <mergeCell ref="H168:I168"/>
    <mergeCell ref="L170:M170"/>
    <mergeCell ref="N170:O170"/>
    <mergeCell ref="L171:M171"/>
    <mergeCell ref="N171:O171"/>
    <mergeCell ref="H195:I195"/>
    <mergeCell ref="L197:M197"/>
    <mergeCell ref="N197:O197"/>
    <mergeCell ref="L198:M198"/>
    <mergeCell ref="N198:O198"/>
    <mergeCell ref="L175:M175"/>
    <mergeCell ref="N175:O175"/>
    <mergeCell ref="L176:M176"/>
    <mergeCell ref="N176:O176"/>
    <mergeCell ref="L177:M177"/>
    <mergeCell ref="N177:O177"/>
    <mergeCell ref="L202:M202"/>
    <mergeCell ref="N202:O202"/>
    <mergeCell ref="L203:M203"/>
    <mergeCell ref="N203:O203"/>
    <mergeCell ref="L204:M204"/>
    <mergeCell ref="N204:O204"/>
    <mergeCell ref="L199:M199"/>
    <mergeCell ref="N199:O199"/>
    <mergeCell ref="L200:M200"/>
    <mergeCell ref="N200:O200"/>
    <mergeCell ref="L201:M201"/>
    <mergeCell ref="N201:O201"/>
    <mergeCell ref="L226:M226"/>
    <mergeCell ref="N226:O226"/>
    <mergeCell ref="L227:M227"/>
    <mergeCell ref="N227:O227"/>
    <mergeCell ref="L228:M228"/>
    <mergeCell ref="N228:O228"/>
    <mergeCell ref="H222:I222"/>
    <mergeCell ref="L224:M224"/>
    <mergeCell ref="N224:O224"/>
    <mergeCell ref="L225:M225"/>
    <mergeCell ref="N225:O225"/>
    <mergeCell ref="H249:I249"/>
    <mergeCell ref="L251:M251"/>
    <mergeCell ref="N251:O251"/>
    <mergeCell ref="L252:M252"/>
    <mergeCell ref="N252:O252"/>
    <mergeCell ref="L229:M229"/>
    <mergeCell ref="N229:O229"/>
    <mergeCell ref="L230:M230"/>
    <mergeCell ref="N230:O230"/>
    <mergeCell ref="L231:M231"/>
    <mergeCell ref="N231:O231"/>
    <mergeCell ref="L256:M256"/>
    <mergeCell ref="N256:O256"/>
    <mergeCell ref="L257:M257"/>
    <mergeCell ref="N257:O257"/>
    <mergeCell ref="L258:M258"/>
    <mergeCell ref="N258:O258"/>
    <mergeCell ref="L253:M253"/>
    <mergeCell ref="N253:O253"/>
    <mergeCell ref="L254:M254"/>
    <mergeCell ref="N254:O254"/>
    <mergeCell ref="L255:M255"/>
    <mergeCell ref="N255:O255"/>
  </mergeCells>
  <pageMargins left="0.7" right="0.7" top="0.75" bottom="0.75" header="0.3" footer="0.3"/>
  <pageSetup paperSize="9" orientation="portrait" r:id="rId1"/>
  <headerFooter>
    <oddFooter>&amp;C&amp;1#&amp;"Arial"&amp;8&amp;K869197Internal</oddFooter>
  </headerFooter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 xr:uid="{77EE42EA-668C-4597-B659-B547572A7955}">
          <x14:formula1>
            <xm:f>'pers. Daten'!$F$1:$F$2</xm:f>
          </x14:formula1>
          <xm:sqref>L252:M258 L63:M69 L36:M42 L90:M96 L144:M150 L171:M177 L198:M204 L225:M231 L117:M123 L6:M12</xm:sqref>
        </x14:dataValidation>
        <x14:dataValidation type="list" allowBlank="1" showInputMessage="1" showErrorMessage="1" xr:uid="{DAD8A015-F175-472E-9259-94692811C4E3}">
          <x14:formula1>
            <xm:f>'pers. Daten'!$A$1</xm:f>
          </x14:formula1>
          <xm:sqref>O60 O33 O87 O114 O141 O168 O195 O222 O249 O3</xm:sqref>
        </x14:dataValidation>
        <x14:dataValidation type="list" allowBlank="1" showInputMessage="1" showErrorMessage="1" xr:uid="{3773393A-08C0-489C-87CB-5B796592B0FD}">
          <x14:formula1>
            <xm:f>'pers. Daten'!$A$9</xm:f>
          </x14:formula1>
          <xm:sqref>O61 O34 O88 O115 O142 O169 O196 O223 O250 O4</xm:sqref>
        </x14:dataValidation>
        <x14:dataValidation type="list" allowBlank="1" xr:uid="{98162D3E-D801-457F-8C81-E4EA22F1369F}">
          <x14:formula1>
            <xm:f>'pers. Daten'!$A$1:$A$9</xm:f>
          </x14:formula1>
          <xm:sqref>N63:O69 N36:O42 N90:O96 N117:O123 N144:O150 N171:O177 N198:O204 N225:O231 N252:O258 N6:O12</xm:sqref>
        </x14:dataValidation>
        <x14:dataValidation type="list" allowBlank="1" xr:uid="{EBDE5B9A-E60E-4C73-9382-BBC408724FCE}">
          <x14:formula1>
            <xm:f>'pers. Daten'!$A$15:$A$22</xm:f>
          </x14:formula1>
          <xm:sqref>T63:T69 T36:T42 T90:T96 T117:T123 T144:T150 T171:T177 T198:T204 T225:T231 T252:T258 T6:T12</xm:sqref>
        </x14:dataValidation>
        <x14:dataValidation type="list" allowBlank="1" showInputMessage="1" xr:uid="{27ADB320-6B5D-4A9F-9BA4-64FEBF8680E6}">
          <x14:formula1>
            <xm:f>TaskNEU!$B$2:$B$36</xm:f>
          </x14:formula1>
          <xm:sqref>D72:D84 D45:D57 D99:D111 D126:D138 D153:D165 D180:D192 D207:D219 D234:D246 D261:D273 D15:D27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A8EB4-ED4A-4E99-AED8-03CD38FC3C01}">
  <sheetPr codeName="Sheet4"/>
  <dimension ref="A1:R47"/>
  <sheetViews>
    <sheetView workbookViewId="0">
      <selection activeCell="I10" sqref="I10:M15"/>
    </sheetView>
  </sheetViews>
  <sheetFormatPr defaultRowHeight="15" x14ac:dyDescent="0.25"/>
  <cols>
    <col min="3" max="3" width="9.140625" bestFit="1" customWidth="1"/>
    <col min="4" max="4" width="10.140625" bestFit="1" customWidth="1"/>
    <col min="15" max="15" width="24.42578125" bestFit="1" customWidth="1"/>
    <col min="16" max="16" width="10.5703125" bestFit="1" customWidth="1"/>
    <col min="17" max="17" width="11.140625" bestFit="1" customWidth="1"/>
    <col min="18" max="18" width="2" bestFit="1" customWidth="1"/>
    <col min="24" max="24" width="9.7109375" bestFit="1" customWidth="1"/>
    <col min="25" max="27" width="10.140625" bestFit="1" customWidth="1"/>
    <col min="28" max="28" width="24.42578125" bestFit="1" customWidth="1"/>
  </cols>
  <sheetData>
    <row r="1" spans="1:18" x14ac:dyDescent="0.25">
      <c r="A1" t="s">
        <v>38</v>
      </c>
      <c r="D1">
        <v>2026</v>
      </c>
      <c r="O1" s="8" t="s">
        <v>226</v>
      </c>
      <c r="P1" s="3">
        <f ca="1">TODAY()</f>
        <v>46183</v>
      </c>
      <c r="Q1" s="3">
        <f>DATE(D1,1,1)</f>
        <v>46023</v>
      </c>
      <c r="R1" s="8"/>
    </row>
    <row r="2" spans="1:18" x14ac:dyDescent="0.25">
      <c r="A2" t="s">
        <v>247</v>
      </c>
      <c r="D2">
        <v>253</v>
      </c>
      <c r="G2" t="s">
        <v>131</v>
      </c>
      <c r="J2">
        <f>SUMIF(Stunden!D:D,"Betriebsrat",Stunden!Q:Q)+SUMIF(Stunden!D:D,"Betriebsrat",Stunden!R:R)+SUMIF(Stunden!D:D,"Betriebsrat",Stunden!S:S)+SUMIF(Stunden!D:D,"Betriebsrat",Stunden!T:T)+SUMIF(Stunden!D:D,"Betriebsrat",Stunden!U:U)+SUMIF(Stunden!D:D,"Betriebsrat",Stunden!V:V)+SUMIF(Stunden!D:D,"Betriebsrat",Stunden!W:W)</f>
        <v>0</v>
      </c>
      <c r="K2" t="s">
        <v>200</v>
      </c>
      <c r="O2" s="8" t="s">
        <v>229</v>
      </c>
      <c r="P2" s="3">
        <v>46023</v>
      </c>
      <c r="Q2" s="8" t="str">
        <f>IF(P2&gt;1,CHOOSE(WEEKDAY(P2,2),"Montag","Dienstag","Mittwoch","Donnerstag","Freitag","Samstag","Sonntag"),"")</f>
        <v>Donnerstag</v>
      </c>
      <c r="R2" s="8">
        <f t="shared" ref="R2:R12" ca="1" si="0">IF(OR(Q2="Samstag",Q2="Sonntag"),0,IF(P2&lt;P$1,1,0))</f>
        <v>1</v>
      </c>
    </row>
    <row r="3" spans="1:18" x14ac:dyDescent="0.25">
      <c r="A3" t="s">
        <v>248</v>
      </c>
      <c r="D3">
        <f ca="1">NETWORKDAYS(Q1,P1,P2:P12)</f>
        <v>108</v>
      </c>
      <c r="G3" t="s">
        <v>114</v>
      </c>
      <c r="J3" t="e">
        <f>SUMIF(Stunden!F:F,"Gesamt",Stunden!G:G)*24</f>
        <v>#REF!</v>
      </c>
      <c r="K3" t="s">
        <v>200</v>
      </c>
      <c r="O3" s="8" t="s">
        <v>230</v>
      </c>
      <c r="P3" s="3">
        <v>46115</v>
      </c>
      <c r="Q3" s="8" t="str">
        <f t="shared" ref="Q3:Q12" si="1">IF(P3&gt;1,CHOOSE(WEEKDAY(P3,2),"Montag","Dienstag","Mittwoch","Donnerstag","Freitag","Samstag","Sonntag"),"")</f>
        <v>Freitag</v>
      </c>
      <c r="R3" s="8">
        <f t="shared" ca="1" si="0"/>
        <v>1</v>
      </c>
    </row>
    <row r="4" spans="1:18" x14ac:dyDescent="0.25">
      <c r="O4" s="8" t="s">
        <v>240</v>
      </c>
      <c r="P4" s="3">
        <v>46118</v>
      </c>
      <c r="Q4" s="8" t="str">
        <f t="shared" si="1"/>
        <v>Montag</v>
      </c>
      <c r="R4" s="8">
        <f t="shared" ca="1" si="0"/>
        <v>1</v>
      </c>
    </row>
    <row r="5" spans="1:18" x14ac:dyDescent="0.25">
      <c r="A5" t="s">
        <v>39</v>
      </c>
      <c r="D5">
        <f>'Planung Abwesenheiten'!D13</f>
        <v>28</v>
      </c>
      <c r="G5" t="s">
        <v>113</v>
      </c>
      <c r="J5" t="e">
        <f>100/J3*J2</f>
        <v>#REF!</v>
      </c>
      <c r="K5" t="s">
        <v>199</v>
      </c>
      <c r="O5" s="8" t="s">
        <v>241</v>
      </c>
      <c r="P5" s="3">
        <v>46143</v>
      </c>
      <c r="Q5" s="8" t="str">
        <f t="shared" si="1"/>
        <v>Freitag</v>
      </c>
      <c r="R5" s="8">
        <f t="shared" ca="1" si="0"/>
        <v>1</v>
      </c>
    </row>
    <row r="6" spans="1:18" x14ac:dyDescent="0.25">
      <c r="A6" t="s">
        <v>249</v>
      </c>
      <c r="D6">
        <f ca="1">'Planung Abwesenheiten'!D14</f>
        <v>0</v>
      </c>
      <c r="G6" t="s">
        <v>198</v>
      </c>
      <c r="J6" t="e">
        <f ca="1">J3/(D3-D8)</f>
        <v>#REF!</v>
      </c>
      <c r="K6" t="s">
        <v>200</v>
      </c>
      <c r="O6" s="8" t="s">
        <v>242</v>
      </c>
      <c r="P6" s="3">
        <v>46156</v>
      </c>
      <c r="Q6" s="8" t="str">
        <f t="shared" si="1"/>
        <v>Donnerstag</v>
      </c>
      <c r="R6" s="8">
        <f t="shared" ca="1" si="0"/>
        <v>1</v>
      </c>
    </row>
    <row r="7" spans="1:18" x14ac:dyDescent="0.25">
      <c r="A7" t="s">
        <v>41</v>
      </c>
      <c r="D7">
        <f>'Planung Abwesenheiten'!D16</f>
        <v>0</v>
      </c>
      <c r="G7" t="s">
        <v>201</v>
      </c>
      <c r="J7" t="e">
        <f ca="1">J3/((D3-D6)/5)</f>
        <v>#REF!</v>
      </c>
      <c r="K7" t="s">
        <v>200</v>
      </c>
      <c r="O7" s="8" t="s">
        <v>243</v>
      </c>
      <c r="P7" s="3">
        <v>46167</v>
      </c>
      <c r="Q7" s="8" t="str">
        <f t="shared" si="1"/>
        <v>Montag</v>
      </c>
      <c r="R7" s="8">
        <f t="shared" ca="1" si="0"/>
        <v>1</v>
      </c>
    </row>
    <row r="8" spans="1:18" x14ac:dyDescent="0.25">
      <c r="O8" s="8" t="s">
        <v>235</v>
      </c>
      <c r="P8" s="3">
        <v>46177</v>
      </c>
      <c r="Q8" s="8" t="str">
        <f t="shared" si="1"/>
        <v>Donnerstag</v>
      </c>
      <c r="R8" s="8">
        <f t="shared" ca="1" si="0"/>
        <v>1</v>
      </c>
    </row>
    <row r="9" spans="1:18" x14ac:dyDescent="0.25">
      <c r="A9" t="s">
        <v>42</v>
      </c>
      <c r="D9">
        <f>COUNTIF(Stunden!$L:$M,'pers. Daten'!F1)</f>
        <v>0</v>
      </c>
      <c r="O9" s="8" t="s">
        <v>244</v>
      </c>
      <c r="P9" s="3">
        <v>46298</v>
      </c>
      <c r="Q9" s="8" t="str">
        <f t="shared" si="1"/>
        <v>Samstag</v>
      </c>
      <c r="R9" s="8">
        <f t="shared" si="0"/>
        <v>0</v>
      </c>
    </row>
    <row r="10" spans="1:18" x14ac:dyDescent="0.25">
      <c r="A10" t="s">
        <v>43</v>
      </c>
      <c r="D10">
        <f>COUNTIF(Stunden!$L:$M,'pers. Daten'!F2)</f>
        <v>19</v>
      </c>
      <c r="O10" s="8" t="s">
        <v>237</v>
      </c>
      <c r="P10" s="3">
        <v>46327</v>
      </c>
      <c r="Q10" s="8" t="str">
        <f t="shared" si="1"/>
        <v>Sonntag</v>
      </c>
      <c r="R10" s="8">
        <f t="shared" si="0"/>
        <v>0</v>
      </c>
    </row>
    <row r="11" spans="1:18" x14ac:dyDescent="0.25">
      <c r="D11">
        <f>SUM(D9:D10)</f>
        <v>19</v>
      </c>
      <c r="O11" s="8" t="s">
        <v>245</v>
      </c>
      <c r="P11" s="3">
        <v>46381</v>
      </c>
      <c r="Q11" s="8" t="str">
        <f t="shared" si="1"/>
        <v>Freitag</v>
      </c>
      <c r="R11" s="8">
        <f t="shared" ca="1" si="0"/>
        <v>0</v>
      </c>
    </row>
    <row r="12" spans="1:18" x14ac:dyDescent="0.25">
      <c r="O12" s="8" t="s">
        <v>246</v>
      </c>
      <c r="P12" s="3">
        <v>46382</v>
      </c>
      <c r="Q12" s="8" t="str">
        <f t="shared" si="1"/>
        <v>Samstag</v>
      </c>
      <c r="R12" s="8">
        <f t="shared" si="0"/>
        <v>0</v>
      </c>
    </row>
    <row r="13" spans="1:18" x14ac:dyDescent="0.25">
      <c r="A13" t="s">
        <v>83</v>
      </c>
      <c r="D13">
        <f>SUM(D14:D19)</f>
        <v>3</v>
      </c>
    </row>
    <row r="14" spans="1:18" x14ac:dyDescent="0.25">
      <c r="A14" t="s">
        <v>84</v>
      </c>
      <c r="D14">
        <f>COUNTIF(Stunden!$N:$N,'pers. Daten'!$A$1)</f>
        <v>0</v>
      </c>
    </row>
    <row r="15" spans="1:18" x14ac:dyDescent="0.25">
      <c r="A15" t="s">
        <v>85</v>
      </c>
      <c r="D15">
        <f>COUNTIF(Stunden!$K:$N,'pers. Daten'!A8)</f>
        <v>0</v>
      </c>
    </row>
    <row r="16" spans="1:18" x14ac:dyDescent="0.25">
      <c r="A16" t="s">
        <v>86</v>
      </c>
      <c r="D16">
        <f>COUNTIF(Stunden!$K:$N,'pers. Daten'!A7)</f>
        <v>2</v>
      </c>
    </row>
    <row r="17" spans="1:4" x14ac:dyDescent="0.25">
      <c r="A17" t="s">
        <v>87</v>
      </c>
      <c r="D17">
        <f>COUNTIF(Stunden!$K:$N,'pers. Daten'!A5)</f>
        <v>0</v>
      </c>
    </row>
    <row r="18" spans="1:4" x14ac:dyDescent="0.25">
      <c r="A18" t="s">
        <v>88</v>
      </c>
      <c r="D18">
        <f>COUNTIF(Stunden!$K:$N,'pers. Daten'!A3)</f>
        <v>1</v>
      </c>
    </row>
    <row r="19" spans="1:4" x14ac:dyDescent="0.25">
      <c r="A19" t="s">
        <v>89</v>
      </c>
      <c r="D19">
        <f>COUNTIF(Stunden!$K:$N,'pers. Daten'!A4)</f>
        <v>0</v>
      </c>
    </row>
    <row r="34" spans="3:4" x14ac:dyDescent="0.25">
      <c r="C34" s="120"/>
      <c r="D34" s="120"/>
    </row>
    <row r="35" spans="3:4" x14ac:dyDescent="0.25">
      <c r="C35" s="120"/>
      <c r="D35" s="120"/>
    </row>
    <row r="36" spans="3:4" x14ac:dyDescent="0.25">
      <c r="C36" s="120"/>
      <c r="D36" s="120"/>
    </row>
    <row r="37" spans="3:4" x14ac:dyDescent="0.25">
      <c r="C37" s="120"/>
      <c r="D37" s="120"/>
    </row>
    <row r="38" spans="3:4" x14ac:dyDescent="0.25">
      <c r="C38" s="120"/>
      <c r="D38" s="120"/>
    </row>
    <row r="39" spans="3:4" x14ac:dyDescent="0.25">
      <c r="C39" s="120"/>
      <c r="D39" s="120"/>
    </row>
    <row r="40" spans="3:4" x14ac:dyDescent="0.25">
      <c r="C40" s="120"/>
      <c r="D40" s="120"/>
    </row>
    <row r="41" spans="3:4" x14ac:dyDescent="0.25">
      <c r="C41" s="120"/>
      <c r="D41" s="120"/>
    </row>
    <row r="42" spans="3:4" x14ac:dyDescent="0.25">
      <c r="C42" s="120"/>
      <c r="D42" s="120"/>
    </row>
    <row r="43" spans="3:4" x14ac:dyDescent="0.25">
      <c r="C43" s="120"/>
      <c r="D43" s="120"/>
    </row>
    <row r="44" spans="3:4" x14ac:dyDescent="0.25">
      <c r="C44" s="120"/>
      <c r="D44" s="120"/>
    </row>
    <row r="45" spans="3:4" x14ac:dyDescent="0.25">
      <c r="C45" s="120"/>
      <c r="D45" s="120"/>
    </row>
    <row r="47" spans="3:4" x14ac:dyDescent="0.25">
      <c r="D47" s="120"/>
    </row>
  </sheetData>
  <phoneticPr fontId="16" type="noConversion"/>
  <pageMargins left="0.7" right="0.7" top="0.75" bottom="0.75" header="0.3" footer="0.3"/>
  <pageSetup paperSize="9" orientation="portrait" r:id="rId1"/>
  <headerFooter>
    <oddFooter>&amp;C&amp;1#&amp;"Arial"&amp;8&amp;K869197Internal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C1586-02E6-4C66-A9C1-9804284BA738}">
  <sheetPr codeName="Sheet8"/>
  <dimension ref="A1:Z45"/>
  <sheetViews>
    <sheetView zoomScale="70" zoomScaleNormal="70" workbookViewId="0">
      <selection activeCell="G29" sqref="G29"/>
    </sheetView>
  </sheetViews>
  <sheetFormatPr defaultColWidth="11.42578125" defaultRowHeight="15" x14ac:dyDescent="0.25"/>
  <cols>
    <col min="1" max="1" width="7.42578125" bestFit="1" customWidth="1"/>
    <col min="2" max="2" width="56.42578125" style="14" customWidth="1"/>
    <col min="3" max="3" width="17" style="14" customWidth="1"/>
    <col min="4" max="4" width="19.140625" style="14" bestFit="1" customWidth="1"/>
    <col min="5" max="5" width="12.140625" style="14" bestFit="1" customWidth="1"/>
    <col min="6" max="6" width="15.42578125" style="14" bestFit="1" customWidth="1"/>
    <col min="7" max="7" width="12.140625" bestFit="1" customWidth="1"/>
    <col min="10" max="10" width="14.42578125" style="11" customWidth="1"/>
    <col min="11" max="11" width="6.42578125" bestFit="1" customWidth="1"/>
    <col min="12" max="12" width="16.42578125" bestFit="1" customWidth="1"/>
    <col min="13" max="13" width="14.5703125" bestFit="1" customWidth="1"/>
  </cols>
  <sheetData>
    <row r="1" spans="1:26" ht="44.25" customHeight="1" x14ac:dyDescent="0.25">
      <c r="A1" s="130" t="s">
        <v>15</v>
      </c>
      <c r="B1" s="131" t="s">
        <v>16</v>
      </c>
      <c r="C1" s="131" t="s">
        <v>17</v>
      </c>
      <c r="D1" s="132" t="s">
        <v>10</v>
      </c>
      <c r="E1" s="131" t="s">
        <v>100</v>
      </c>
      <c r="F1" s="132" t="s">
        <v>91</v>
      </c>
      <c r="G1" s="132" t="s">
        <v>92</v>
      </c>
      <c r="H1" s="133" t="s">
        <v>93</v>
      </c>
      <c r="J1" s="223" t="s">
        <v>19</v>
      </c>
      <c r="K1" s="130" t="s">
        <v>15</v>
      </c>
      <c r="L1" s="131" t="s">
        <v>16</v>
      </c>
      <c r="M1" s="131" t="s">
        <v>17</v>
      </c>
      <c r="N1" s="132" t="s">
        <v>10</v>
      </c>
      <c r="O1" s="131" t="s">
        <v>100</v>
      </c>
      <c r="P1" s="132" t="s">
        <v>91</v>
      </c>
      <c r="Q1" s="132" t="s">
        <v>92</v>
      </c>
      <c r="R1" s="133" t="s">
        <v>93</v>
      </c>
    </row>
    <row r="2" spans="1:26" x14ac:dyDescent="0.25">
      <c r="A2" s="134" t="str">
        <f>IF(B2="","",MAX(A1:A$3)+1)</f>
        <v/>
      </c>
      <c r="B2" s="135"/>
      <c r="C2" s="136"/>
      <c r="D2" s="135"/>
      <c r="E2" s="135"/>
      <c r="F2" s="135"/>
      <c r="G2" s="135">
        <f>SUMIF(Stunden!D:D,B2,Stunden!P:P)</f>
        <v>0</v>
      </c>
      <c r="H2" s="137">
        <f>TaskNEU!$F2-TaskNEU!$G2</f>
        <v>0</v>
      </c>
      <c r="J2" s="223"/>
      <c r="K2" s="134" t="str">
        <f>IF(L2="","",MAX(K1:K$3)+1)</f>
        <v/>
      </c>
      <c r="L2" s="135"/>
      <c r="M2" s="136"/>
      <c r="N2" s="135"/>
      <c r="O2" s="135"/>
      <c r="P2" s="135"/>
      <c r="Q2" s="135"/>
      <c r="R2" s="137"/>
      <c r="T2" s="44"/>
      <c r="U2" s="45" t="s">
        <v>154</v>
      </c>
      <c r="V2" s="44"/>
      <c r="W2" s="44"/>
      <c r="X2" s="45"/>
      <c r="Y2" s="44"/>
      <c r="Z2" s="44"/>
    </row>
    <row r="3" spans="1:26" x14ac:dyDescent="0.25">
      <c r="A3" s="138">
        <f>IF(B3="","",MAX(A1:A$2)+1)</f>
        <v>1</v>
      </c>
      <c r="B3" s="139" t="s">
        <v>95</v>
      </c>
      <c r="C3" s="140"/>
      <c r="D3" s="139"/>
      <c r="E3" s="139"/>
      <c r="F3" s="139"/>
      <c r="G3" s="139">
        <f>SUMIF(Stunden!D:D,B3,Stunden!P:P)</f>
        <v>1</v>
      </c>
      <c r="H3" s="141">
        <f>TaskNEU!$F3-TaskNEU!$G3</f>
        <v>-1</v>
      </c>
      <c r="J3" s="223"/>
      <c r="K3" s="138">
        <f>IF(L4="","",MAX(K1:K$2)+1)</f>
        <v>1</v>
      </c>
      <c r="L3" s="139" t="s">
        <v>95</v>
      </c>
      <c r="M3" s="140"/>
      <c r="N3" s="139"/>
      <c r="O3" s="139"/>
      <c r="P3" s="139"/>
      <c r="Q3" s="139"/>
      <c r="R3" s="141"/>
      <c r="T3" s="12"/>
      <c r="U3" s="13"/>
      <c r="V3" s="12"/>
      <c r="W3" s="12"/>
      <c r="X3" s="13"/>
      <c r="Y3" s="12"/>
      <c r="Z3" s="12"/>
    </row>
    <row r="4" spans="1:26" ht="16.5" x14ac:dyDescent="0.3">
      <c r="A4" s="134">
        <f>IF(B4="","",MAX(A3:A$3)+1)</f>
        <v>2</v>
      </c>
      <c r="B4" s="135" t="s">
        <v>195</v>
      </c>
      <c r="C4" s="136"/>
      <c r="D4" s="135" t="s">
        <v>151</v>
      </c>
      <c r="E4" s="135"/>
      <c r="F4" s="135"/>
      <c r="G4" s="135">
        <f>SUMIF(Stunden!D:D,B4,Stunden!P:P)</f>
        <v>0</v>
      </c>
      <c r="H4" s="137">
        <f>TaskNEU!$F4-TaskNEU!$G4</f>
        <v>0</v>
      </c>
      <c r="J4" s="224"/>
      <c r="K4" s="134">
        <f>IF(L5="","",MAX(K2:K$2)+1)</f>
        <v>1</v>
      </c>
      <c r="L4" s="135" t="s">
        <v>79</v>
      </c>
      <c r="M4" s="136"/>
      <c r="N4" s="135"/>
      <c r="O4" s="135"/>
      <c r="P4" s="135"/>
      <c r="Q4" s="135"/>
      <c r="R4" s="137"/>
      <c r="T4" s="49"/>
      <c r="U4" s="49" t="s">
        <v>155</v>
      </c>
      <c r="V4" s="12"/>
    </row>
    <row r="5" spans="1:26" x14ac:dyDescent="0.25">
      <c r="A5" s="138">
        <f>IF(B5="","",MAX(A$3:A4)+1)</f>
        <v>3</v>
      </c>
      <c r="B5" s="139" t="s">
        <v>214</v>
      </c>
      <c r="C5" s="140"/>
      <c r="D5" s="139" t="s">
        <v>212</v>
      </c>
      <c r="E5" s="139"/>
      <c r="F5" s="139"/>
      <c r="G5" s="139">
        <f>SUMIF(Stunden!D:D,B5,Stunden!P:P)</f>
        <v>0</v>
      </c>
      <c r="H5" s="141">
        <f>TaskNEU!$F5-TaskNEU!$G5</f>
        <v>0</v>
      </c>
      <c r="J5" s="224"/>
      <c r="K5" s="138">
        <f>IF(L6="","",MAX(K$2:K3)+1)</f>
        <v>2</v>
      </c>
      <c r="L5" s="139" t="s">
        <v>105</v>
      </c>
      <c r="M5" s="140"/>
      <c r="N5" s="139" t="s">
        <v>108</v>
      </c>
      <c r="O5" s="139"/>
      <c r="P5" s="139"/>
      <c r="Q5" s="139"/>
      <c r="R5" s="141"/>
      <c r="T5" s="44"/>
      <c r="U5" s="45"/>
      <c r="V5" s="44"/>
      <c r="W5" s="44"/>
      <c r="X5" s="44"/>
      <c r="Y5" s="44"/>
      <c r="Z5" s="48"/>
    </row>
    <row r="6" spans="1:26" x14ac:dyDescent="0.25">
      <c r="A6" s="134">
        <f>IF(B6="","",MAX(A$3:A5)+1)</f>
        <v>4</v>
      </c>
      <c r="B6" s="135" t="s">
        <v>196</v>
      </c>
      <c r="C6" s="136"/>
      <c r="D6" s="135" t="s">
        <v>152</v>
      </c>
      <c r="E6" s="135"/>
      <c r="F6" s="135"/>
      <c r="G6" s="135">
        <f>SUMIF(Stunden!D:D,B6,Stunden!P:P)</f>
        <v>0</v>
      </c>
      <c r="H6" s="137">
        <f>TaskNEU!$F6-TaskNEU!$G6</f>
        <v>0</v>
      </c>
      <c r="K6" s="134">
        <f>IF(L7="","",MAX(K$2:K4)+1)</f>
        <v>2</v>
      </c>
      <c r="L6" s="135" t="s">
        <v>94</v>
      </c>
      <c r="M6" s="136"/>
      <c r="N6" s="135" t="s">
        <v>107</v>
      </c>
      <c r="O6" s="135"/>
      <c r="P6" s="135"/>
      <c r="Q6" s="135"/>
      <c r="R6" s="137"/>
      <c r="T6" s="12"/>
      <c r="U6" s="13" t="s">
        <v>156</v>
      </c>
      <c r="V6" s="12"/>
      <c r="W6" s="12"/>
      <c r="X6" s="12"/>
      <c r="Y6" s="12"/>
      <c r="Z6" s="47"/>
    </row>
    <row r="7" spans="1:26" x14ac:dyDescent="0.25">
      <c r="A7" s="138">
        <f>IF(B7="","",MAX(A$3:A6)+1)</f>
        <v>5</v>
      </c>
      <c r="B7" s="139" t="s">
        <v>197</v>
      </c>
      <c r="C7" s="140"/>
      <c r="D7" s="139" t="s">
        <v>153</v>
      </c>
      <c r="E7" s="139"/>
      <c r="F7" s="139"/>
      <c r="G7" s="139">
        <f>SUMIF(Stunden!D:D,B7,Stunden!P:P)</f>
        <v>0</v>
      </c>
      <c r="H7" s="141">
        <f>TaskNEU!$F7-TaskNEU!$G7</f>
        <v>0</v>
      </c>
      <c r="J7" s="11" t="s">
        <v>20</v>
      </c>
      <c r="K7" s="138">
        <f>IF(L8="","",MAX(K$2:K5)+1)</f>
        <v>3</v>
      </c>
      <c r="L7" s="139" t="s">
        <v>96</v>
      </c>
      <c r="M7" s="140"/>
      <c r="N7" s="139" t="s">
        <v>106</v>
      </c>
      <c r="O7" s="139"/>
      <c r="P7" s="139"/>
      <c r="Q7" s="139"/>
      <c r="R7" s="141"/>
      <c r="T7" s="44"/>
      <c r="U7" s="45"/>
      <c r="V7" s="44"/>
      <c r="W7" s="44"/>
      <c r="X7" s="44"/>
      <c r="Y7" s="44"/>
      <c r="Z7" s="48"/>
    </row>
    <row r="8" spans="1:26" x14ac:dyDescent="0.25">
      <c r="A8" s="134">
        <f>IF(B8="","",MAX(A$3:A7)+1)</f>
        <v>6</v>
      </c>
      <c r="B8" s="135" t="s">
        <v>194</v>
      </c>
      <c r="C8" s="136"/>
      <c r="D8" s="135" t="s">
        <v>190</v>
      </c>
      <c r="E8" s="135"/>
      <c r="F8" s="135"/>
      <c r="G8" s="135">
        <f>SUMIF(Stunden!D:D,B8,Stunden!P:P)</f>
        <v>0</v>
      </c>
      <c r="H8" s="137">
        <f>TaskNEU!$F8-TaskNEU!$G8</f>
        <v>0</v>
      </c>
      <c r="K8" s="134">
        <f>IF(L9="","",MAX(K$2:K6)+1)</f>
        <v>3</v>
      </c>
      <c r="L8" s="135" t="s">
        <v>111</v>
      </c>
      <c r="M8" s="136"/>
      <c r="N8" s="135" t="s">
        <v>109</v>
      </c>
      <c r="O8" s="135"/>
      <c r="P8" s="135"/>
      <c r="Q8" s="135"/>
      <c r="R8" s="137"/>
      <c r="T8" s="12"/>
      <c r="U8" s="13" t="s">
        <v>144</v>
      </c>
      <c r="V8" s="12"/>
      <c r="W8" s="12"/>
    </row>
    <row r="9" spans="1:26" x14ac:dyDescent="0.25">
      <c r="A9" s="138">
        <f>IF(B9="","",MAX(A$3:A8)+1)</f>
        <v>7</v>
      </c>
      <c r="B9" s="139" t="s">
        <v>79</v>
      </c>
      <c r="C9" s="139"/>
      <c r="D9" s="139">
        <v>900920</v>
      </c>
      <c r="E9" s="139"/>
      <c r="F9" s="139"/>
      <c r="G9" s="139">
        <f>SUMIF(Stunden!D:D,B9,Stunden!P:P)</f>
        <v>0</v>
      </c>
      <c r="H9" s="141">
        <f>TaskNEU!$F9-TaskNEU!$G9</f>
        <v>0</v>
      </c>
      <c r="K9" s="138">
        <f>IF(L10="","",MAX(K$2:K7)+1)</f>
        <v>4</v>
      </c>
      <c r="L9" s="139" t="s">
        <v>112</v>
      </c>
      <c r="M9" s="140"/>
      <c r="N9" s="139" t="s">
        <v>110</v>
      </c>
      <c r="O9" s="139"/>
      <c r="P9" s="139"/>
      <c r="Q9" s="139"/>
      <c r="R9" s="141"/>
    </row>
    <row r="10" spans="1:26" x14ac:dyDescent="0.25">
      <c r="A10" s="134">
        <f>IF(B10="","",MAX(A$3:A9)+1)</f>
        <v>8</v>
      </c>
      <c r="B10" s="135" t="s">
        <v>112</v>
      </c>
      <c r="C10" s="136"/>
      <c r="D10" s="135" t="s">
        <v>110</v>
      </c>
      <c r="E10" s="135"/>
      <c r="F10" s="135"/>
      <c r="G10" s="135">
        <f>SUMIF(Stunden!D:D,B10,Stunden!P:P)</f>
        <v>0</v>
      </c>
      <c r="H10" s="137">
        <f>TaskNEU!$F10-TaskNEU!$G10</f>
        <v>0</v>
      </c>
      <c r="K10" s="134">
        <f>IF(L11="","",MAX(K$2:K8)+1)</f>
        <v>4</v>
      </c>
      <c r="L10" s="135" t="s">
        <v>115</v>
      </c>
      <c r="M10" s="136" t="s">
        <v>121</v>
      </c>
      <c r="N10" s="135"/>
      <c r="O10" s="135">
        <v>320</v>
      </c>
      <c r="P10" s="135"/>
      <c r="Q10" s="135"/>
      <c r="R10" s="137"/>
      <c r="U10" t="s">
        <v>145</v>
      </c>
    </row>
    <row r="11" spans="1:26" x14ac:dyDescent="0.25">
      <c r="A11" s="138">
        <f>IF(B11="","",MAX(A$3:A10)+1)</f>
        <v>9</v>
      </c>
      <c r="B11" s="139" t="s">
        <v>213</v>
      </c>
      <c r="C11" s="140"/>
      <c r="D11" s="139" t="s">
        <v>216</v>
      </c>
      <c r="E11" s="139"/>
      <c r="F11" s="139"/>
      <c r="G11" s="139">
        <f>SUMIF(Stunden!D:D,B11,Stunden!P:P)</f>
        <v>0</v>
      </c>
      <c r="H11" s="141">
        <f>TaskNEU!$F11-TaskNEU!$G11</f>
        <v>0</v>
      </c>
      <c r="K11" s="138">
        <f>IF(L12="","",MAX(K$2:K9)+1)</f>
        <v>5</v>
      </c>
      <c r="L11" s="139" t="s">
        <v>116</v>
      </c>
      <c r="M11" s="140"/>
      <c r="N11" s="139"/>
      <c r="O11" s="139"/>
      <c r="P11" s="139"/>
      <c r="Q11" s="139"/>
      <c r="R11" s="141"/>
    </row>
    <row r="12" spans="1:26" x14ac:dyDescent="0.25">
      <c r="A12" s="134">
        <f>IF(B12="","",MAX(A$3:A11)+1)</f>
        <v>10</v>
      </c>
      <c r="B12" s="135" t="s">
        <v>258</v>
      </c>
      <c r="C12" s="136"/>
      <c r="D12" s="135" t="s">
        <v>257</v>
      </c>
      <c r="E12" s="135"/>
      <c r="F12" s="135"/>
      <c r="G12" s="135">
        <f>SUMIF(Stunden!D:D,B12,Stunden!P:P)</f>
        <v>0</v>
      </c>
      <c r="H12" s="137">
        <f>TaskNEU!$F12-TaskNEU!$G12</f>
        <v>0</v>
      </c>
      <c r="K12" s="134">
        <f>IF(L13="","",MAX(K$2:K10)+1)</f>
        <v>5</v>
      </c>
      <c r="L12" s="135" t="s">
        <v>122</v>
      </c>
      <c r="M12" s="136" t="s">
        <v>121</v>
      </c>
      <c r="N12" s="135"/>
      <c r="O12" s="135">
        <v>250</v>
      </c>
      <c r="P12" s="135"/>
      <c r="Q12" s="135"/>
      <c r="R12" s="137"/>
      <c r="T12" s="12"/>
      <c r="U12" s="13" t="s">
        <v>146</v>
      </c>
      <c r="V12" s="12"/>
    </row>
    <row r="13" spans="1:26" x14ac:dyDescent="0.25">
      <c r="A13" s="138">
        <f>IF(B13="","",MAX(A$3:A12)+1)</f>
        <v>11</v>
      </c>
      <c r="B13" s="139" t="s">
        <v>143</v>
      </c>
      <c r="C13" s="143" t="s">
        <v>142</v>
      </c>
      <c r="D13" s="139"/>
      <c r="E13" s="139">
        <v>10</v>
      </c>
      <c r="F13" s="139"/>
      <c r="G13" s="139">
        <f>SUMIF(Stunden!D:D,B13,Stunden!P:P)</f>
        <v>0</v>
      </c>
      <c r="H13" s="141">
        <f>TaskNEU!$F13-TaskNEU!$G13</f>
        <v>0</v>
      </c>
      <c r="K13" s="138">
        <f>IF(L14="","",MAX(K$2:K11)+1)</f>
        <v>6</v>
      </c>
      <c r="L13" s="139" t="s">
        <v>123</v>
      </c>
      <c r="M13" s="140"/>
      <c r="N13" s="139" t="s">
        <v>124</v>
      </c>
      <c r="O13" s="139"/>
      <c r="P13" s="139"/>
      <c r="Q13" s="139"/>
      <c r="R13" s="141"/>
      <c r="T13" s="44"/>
      <c r="U13" s="45"/>
      <c r="V13" s="44"/>
    </row>
    <row r="14" spans="1:26" x14ac:dyDescent="0.25">
      <c r="A14" s="134">
        <f>IF(B14="","",MAX(A$3:A13)+1)</f>
        <v>12</v>
      </c>
      <c r="B14" s="135" t="s">
        <v>171</v>
      </c>
      <c r="C14" s="144" t="s">
        <v>168</v>
      </c>
      <c r="D14" s="135"/>
      <c r="E14" s="135">
        <v>10</v>
      </c>
      <c r="F14" s="135">
        <v>396</v>
      </c>
      <c r="G14" s="135">
        <f>SUMIF(Stunden!D:D,B14,Stunden!P:P)</f>
        <v>0</v>
      </c>
      <c r="H14" s="137">
        <f>TaskNEU!$F14-TaskNEU!$G14</f>
        <v>396</v>
      </c>
      <c r="K14" s="134">
        <f>IF(L15="","",MAX(K$2:K12)+1)</f>
        <v>6</v>
      </c>
      <c r="L14" s="135" t="s">
        <v>125</v>
      </c>
      <c r="M14" s="136"/>
      <c r="N14" s="135" t="s">
        <v>126</v>
      </c>
      <c r="O14" s="135"/>
      <c r="P14" s="135"/>
      <c r="Q14" s="135"/>
      <c r="R14" s="137"/>
      <c r="T14" s="12"/>
      <c r="U14" s="13" t="s">
        <v>147</v>
      </c>
      <c r="V14" s="12"/>
    </row>
    <row r="15" spans="1:26" x14ac:dyDescent="0.25">
      <c r="A15" s="138">
        <f>IF(B15="","",MAX(A$3:A14)+1)</f>
        <v>13</v>
      </c>
      <c r="B15" s="139" t="s">
        <v>169</v>
      </c>
      <c r="C15" s="140" t="s">
        <v>121</v>
      </c>
      <c r="D15" s="139"/>
      <c r="E15" s="139">
        <v>240</v>
      </c>
      <c r="F15" s="139"/>
      <c r="G15" s="139">
        <f>SUMIF(Stunden!D:D,B15,Stunden!P:P)</f>
        <v>0</v>
      </c>
      <c r="H15" s="141">
        <f>TaskNEU!$F15-TaskNEU!$G15</f>
        <v>0</v>
      </c>
      <c r="K15" s="138">
        <f>IF(L16="","",MAX(K$2:K13)+1)</f>
        <v>7</v>
      </c>
      <c r="L15" s="139" t="s">
        <v>130</v>
      </c>
      <c r="M15" s="140"/>
      <c r="N15" s="139" t="s">
        <v>129</v>
      </c>
      <c r="O15" s="139"/>
      <c r="P15" s="139"/>
      <c r="Q15" s="139"/>
      <c r="R15" s="141"/>
      <c r="T15" s="44"/>
      <c r="U15" s="45"/>
      <c r="V15" s="44"/>
    </row>
    <row r="16" spans="1:26" x14ac:dyDescent="0.25">
      <c r="A16" s="134">
        <f>IF(B16="","",MAX(A$3:A15)+1)</f>
        <v>14</v>
      </c>
      <c r="B16" s="135" t="s">
        <v>192</v>
      </c>
      <c r="C16" s="136" t="s">
        <v>193</v>
      </c>
      <c r="D16" s="135"/>
      <c r="E16" s="135">
        <v>10</v>
      </c>
      <c r="F16" s="135"/>
      <c r="G16" s="135">
        <f>SUMIF(Stunden!D:D,B16,Stunden!P:P)</f>
        <v>0</v>
      </c>
      <c r="H16" s="137">
        <f>TaskNEU!$F16-TaskNEU!$G16</f>
        <v>0</v>
      </c>
      <c r="K16" s="134">
        <f>IF(L17="","",MAX(K$2:K14)+1)</f>
        <v>7</v>
      </c>
      <c r="L16" s="135" t="s">
        <v>132</v>
      </c>
      <c r="M16" s="135">
        <v>470001345</v>
      </c>
      <c r="N16" s="135"/>
      <c r="O16" s="135">
        <v>20</v>
      </c>
      <c r="P16" s="135"/>
      <c r="Q16" s="135"/>
      <c r="R16" s="137"/>
      <c r="T16" s="12"/>
      <c r="U16" s="13" t="s">
        <v>148</v>
      </c>
      <c r="V16" s="12"/>
    </row>
    <row r="17" spans="1:22" x14ac:dyDescent="0.25">
      <c r="A17" s="138">
        <f>IF(B17="","",MAX(A$3:A16)+1)</f>
        <v>15</v>
      </c>
      <c r="B17" s="139" t="s">
        <v>203</v>
      </c>
      <c r="C17" s="140" t="s">
        <v>204</v>
      </c>
      <c r="D17" s="139"/>
      <c r="E17" s="139">
        <v>10</v>
      </c>
      <c r="F17" s="139"/>
      <c r="G17" s="139">
        <f>SUMIF(Stunden!D:D,B17,Stunden!P:P)</f>
        <v>0</v>
      </c>
      <c r="H17" s="141">
        <f>TaskNEU!$F17-TaskNEU!$G17</f>
        <v>0</v>
      </c>
      <c r="K17" s="138">
        <f>IF(L18="","",MAX(K$2:K15)+1)</f>
        <v>8</v>
      </c>
      <c r="L17" s="139" t="s">
        <v>133</v>
      </c>
      <c r="M17" s="140" t="s">
        <v>121</v>
      </c>
      <c r="N17" s="139"/>
      <c r="O17" s="139">
        <v>310</v>
      </c>
      <c r="P17" s="139"/>
      <c r="Q17" s="139"/>
      <c r="R17" s="141"/>
      <c r="T17" s="44"/>
      <c r="U17" s="45"/>
      <c r="V17" s="44"/>
    </row>
    <row r="18" spans="1:22" x14ac:dyDescent="0.25">
      <c r="A18" s="134">
        <f>IF(B18="","",MAX(A$3:A17)+1)</f>
        <v>16</v>
      </c>
      <c r="B18" s="135" t="s">
        <v>202</v>
      </c>
      <c r="C18" s="136" t="s">
        <v>204</v>
      </c>
      <c r="D18" s="135"/>
      <c r="E18" s="135">
        <v>20</v>
      </c>
      <c r="F18" s="135"/>
      <c r="G18" s="135">
        <f>SUMIF(Stunden!D:D,B18,Stunden!P:P)</f>
        <v>0</v>
      </c>
      <c r="H18" s="137">
        <f>TaskNEU!$F18-TaskNEU!$G18</f>
        <v>0</v>
      </c>
      <c r="K18" s="134">
        <f>IF(L19="","",MAX(K$2:K16)+1)</f>
        <v>8</v>
      </c>
      <c r="L18" s="135" t="s">
        <v>134</v>
      </c>
      <c r="M18" s="136"/>
      <c r="N18" s="135" t="s">
        <v>135</v>
      </c>
      <c r="O18" s="135"/>
      <c r="P18" s="135"/>
      <c r="Q18" s="135"/>
      <c r="R18" s="137"/>
      <c r="T18" s="12"/>
      <c r="U18" s="13" t="s">
        <v>149</v>
      </c>
      <c r="V18" s="12"/>
    </row>
    <row r="19" spans="1:22" x14ac:dyDescent="0.25">
      <c r="A19" s="138">
        <f>IF(B19="","",MAX(A$3:A18)+1)</f>
        <v>17</v>
      </c>
      <c r="B19" s="139" t="s">
        <v>205</v>
      </c>
      <c r="C19" s="140" t="s">
        <v>206</v>
      </c>
      <c r="D19" s="139"/>
      <c r="E19" s="139">
        <v>10</v>
      </c>
      <c r="F19" s="139"/>
      <c r="G19" s="139">
        <f>SUMIF(Stunden!D:D,B19,Stunden!P:P)</f>
        <v>0</v>
      </c>
      <c r="H19" s="141">
        <f>TaskNEU!$F19-TaskNEU!$G19</f>
        <v>0</v>
      </c>
      <c r="K19" s="138">
        <f>IF(L20="","",MAX(K$2:K17)+1)</f>
        <v>9</v>
      </c>
      <c r="L19" s="139" t="s">
        <v>136</v>
      </c>
      <c r="M19" s="140" t="s">
        <v>137</v>
      </c>
      <c r="N19" s="139"/>
      <c r="O19" s="139">
        <v>10</v>
      </c>
      <c r="P19" s="139"/>
      <c r="Q19" s="139"/>
      <c r="R19" s="141"/>
      <c r="T19" s="44"/>
      <c r="U19" s="45"/>
      <c r="V19" s="44"/>
    </row>
    <row r="20" spans="1:22" x14ac:dyDescent="0.25">
      <c r="A20" s="134">
        <f>IF(B20="","",MAX(A$3:A19)+1)</f>
        <v>18</v>
      </c>
      <c r="B20" s="135" t="s">
        <v>207</v>
      </c>
      <c r="C20" s="136"/>
      <c r="D20" s="135" t="s">
        <v>221</v>
      </c>
      <c r="E20" s="135"/>
      <c r="F20" s="135"/>
      <c r="G20" s="135">
        <f>SUMIF(Stunden!D:D,B20,Stunden!P:P)</f>
        <v>0</v>
      </c>
      <c r="H20" s="137">
        <f>TaskNEU!$F20-TaskNEU!$G20</f>
        <v>0</v>
      </c>
      <c r="K20" s="134" t="str">
        <f>IF(L21="","",MAX(K$2:K18)+1)</f>
        <v/>
      </c>
      <c r="L20" s="135" t="s">
        <v>143</v>
      </c>
      <c r="M20" s="142" t="s">
        <v>142</v>
      </c>
      <c r="N20" s="135"/>
      <c r="O20" s="135">
        <v>10</v>
      </c>
      <c r="P20" s="135"/>
      <c r="Q20" s="135"/>
      <c r="R20" s="137"/>
      <c r="T20" s="12"/>
      <c r="U20" s="13" t="s">
        <v>150</v>
      </c>
      <c r="V20" s="12"/>
    </row>
    <row r="21" spans="1:22" x14ac:dyDescent="0.25">
      <c r="A21" s="138">
        <f>IF(B21="","",MAX(A$3:A20)+1)</f>
        <v>19</v>
      </c>
      <c r="B21" s="139" t="s">
        <v>209</v>
      </c>
      <c r="C21" s="140"/>
      <c r="D21" s="139" t="s">
        <v>110</v>
      </c>
      <c r="E21" s="139"/>
      <c r="F21" s="139"/>
      <c r="G21" s="139">
        <f>SUMIF(Stunden!D:D,B21,Stunden!P:P)</f>
        <v>0</v>
      </c>
      <c r="H21" s="141">
        <f>TaskNEU!$F21-TaskNEU!$G21</f>
        <v>0</v>
      </c>
      <c r="K21" s="138" t="str">
        <f>IF(L22="","",MAX(K$2:K19)+1)</f>
        <v/>
      </c>
      <c r="L21" s="139"/>
      <c r="M21" s="140"/>
      <c r="N21" s="139"/>
      <c r="O21" s="139"/>
      <c r="P21" s="139"/>
      <c r="Q21" s="139"/>
      <c r="R21" s="141"/>
      <c r="T21" s="44"/>
      <c r="U21" s="45"/>
      <c r="V21" s="44"/>
    </row>
    <row r="22" spans="1:22" x14ac:dyDescent="0.25">
      <c r="A22" s="134">
        <f>IF(B22="","",MAX(A$3:A21)+1)</f>
        <v>20</v>
      </c>
      <c r="B22" s="135" t="s">
        <v>210</v>
      </c>
      <c r="C22" s="136" t="s">
        <v>211</v>
      </c>
      <c r="D22" s="135"/>
      <c r="E22" s="135">
        <v>10</v>
      </c>
      <c r="F22" s="135">
        <v>69</v>
      </c>
      <c r="G22" s="135">
        <f>SUMIF(Stunden!D:D,B22,Stunden!P:P)</f>
        <v>0</v>
      </c>
      <c r="H22" s="137">
        <f>TaskNEU!$F22-TaskNEU!$G22</f>
        <v>69</v>
      </c>
      <c r="K22" s="134" t="str">
        <f>IF(L23="","",MAX(K$2:K20)+1)</f>
        <v/>
      </c>
      <c r="L22" s="135"/>
      <c r="M22" s="136"/>
      <c r="N22" s="135"/>
      <c r="O22" s="135"/>
      <c r="P22" s="135"/>
      <c r="Q22" s="135"/>
      <c r="R22" s="137"/>
      <c r="T22" s="12"/>
      <c r="U22" s="13" t="s">
        <v>20</v>
      </c>
      <c r="V22" s="12"/>
    </row>
    <row r="23" spans="1:22" x14ac:dyDescent="0.25">
      <c r="A23" s="138">
        <f>IF(B23="","",MAX(A$3:A22)+1)</f>
        <v>21</v>
      </c>
      <c r="B23" s="139" t="s">
        <v>218</v>
      </c>
      <c r="C23" s="140" t="s">
        <v>217</v>
      </c>
      <c r="D23" s="139"/>
      <c r="E23" s="139">
        <v>10</v>
      </c>
      <c r="F23" s="139">
        <v>236</v>
      </c>
      <c r="G23" s="139">
        <v>0</v>
      </c>
      <c r="H23" s="141">
        <f>TaskNEU!$F23-TaskNEU!$G23</f>
        <v>236</v>
      </c>
      <c r="K23" s="138" t="str">
        <f>IF(L24="","",MAX(K$2:K21)+1)</f>
        <v/>
      </c>
      <c r="L23" s="139"/>
      <c r="M23" s="140"/>
      <c r="N23" s="139"/>
      <c r="O23" s="139"/>
      <c r="P23" s="139"/>
      <c r="Q23" s="139"/>
      <c r="R23" s="141"/>
      <c r="T23" s="44"/>
      <c r="U23" s="45"/>
      <c r="V23" s="44"/>
    </row>
    <row r="24" spans="1:22" x14ac:dyDescent="0.25">
      <c r="A24" s="134">
        <f>IF(B24="","",MAX(A$3:A23)+1)</f>
        <v>22</v>
      </c>
      <c r="B24" s="135" t="s">
        <v>219</v>
      </c>
      <c r="C24" s="136" t="s">
        <v>220</v>
      </c>
      <c r="D24" s="135"/>
      <c r="E24" s="135">
        <v>10</v>
      </c>
      <c r="F24" s="135">
        <v>85</v>
      </c>
      <c r="G24" s="135">
        <f>SUMIF(Stunden!D:D,B24,Stunden!P:P)</f>
        <v>0</v>
      </c>
      <c r="H24" s="137">
        <f>TaskNEU!$F24-TaskNEU!$G24</f>
        <v>85</v>
      </c>
      <c r="K24" s="134" t="str">
        <f>IF(L25="","",MAX(K$2:K22)+1)</f>
        <v/>
      </c>
      <c r="L24" s="135"/>
      <c r="M24" s="136"/>
      <c r="N24" s="135"/>
      <c r="O24" s="135"/>
      <c r="P24" s="135"/>
      <c r="Q24" s="135"/>
      <c r="R24" s="137"/>
      <c r="T24" s="12"/>
      <c r="U24" s="13" t="s">
        <v>157</v>
      </c>
      <c r="V24" s="12"/>
    </row>
    <row r="25" spans="1:22" x14ac:dyDescent="0.25">
      <c r="A25" s="138">
        <f>IF(B25="","",MAX(A$3:A24)+1)</f>
        <v>23</v>
      </c>
      <c r="B25" s="139" t="s">
        <v>222</v>
      </c>
      <c r="C25" s="140"/>
      <c r="D25" s="139" t="s">
        <v>221</v>
      </c>
      <c r="E25" s="139"/>
      <c r="F25" s="139"/>
      <c r="G25" s="139">
        <f>SUMIF(Stunden!D:D,B25,Stunden!P:P)</f>
        <v>0</v>
      </c>
      <c r="H25" s="141">
        <f>TaskNEU!$F25-TaskNEU!$G25</f>
        <v>0</v>
      </c>
      <c r="K25" s="138" t="str">
        <f>IF(L26="","",MAX(K$2:K23)+1)</f>
        <v/>
      </c>
      <c r="L25" s="139"/>
      <c r="M25" s="140"/>
      <c r="N25" s="139"/>
      <c r="O25" s="139"/>
      <c r="P25" s="139"/>
      <c r="Q25" s="139"/>
      <c r="R25" s="141"/>
      <c r="T25" s="44"/>
      <c r="U25" s="45"/>
      <c r="V25" s="44"/>
    </row>
    <row r="26" spans="1:22" x14ac:dyDescent="0.25">
      <c r="A26" s="134">
        <f>IF(B26="","",MAX(A$3:A25)+1)</f>
        <v>24</v>
      </c>
      <c r="B26" s="135" t="s">
        <v>223</v>
      </c>
      <c r="C26" s="136"/>
      <c r="D26" s="135" t="s">
        <v>224</v>
      </c>
      <c r="E26" s="135"/>
      <c r="F26" s="135"/>
      <c r="G26" s="135">
        <f>SUMIF(Stunden!D:D,B26,Stunden!P:P)</f>
        <v>0</v>
      </c>
      <c r="H26" s="137">
        <f>TaskNEU!$F26-TaskNEU!$G26</f>
        <v>0</v>
      </c>
      <c r="K26" s="134" t="str">
        <f>IF(L27="","",MAX(K$2:K24)+1)</f>
        <v/>
      </c>
      <c r="L26" s="135"/>
      <c r="M26" s="136"/>
      <c r="N26" s="135"/>
      <c r="O26" s="135"/>
      <c r="P26" s="135"/>
      <c r="Q26" s="135"/>
      <c r="R26" s="137"/>
      <c r="T26" s="12"/>
      <c r="U26" s="13" t="s">
        <v>158</v>
      </c>
      <c r="V26" s="12"/>
    </row>
    <row r="27" spans="1:22" ht="15.75" x14ac:dyDescent="0.25">
      <c r="A27" s="138">
        <f>IF(B27="","",MAX(A$3:A26)+1)</f>
        <v>25</v>
      </c>
      <c r="B27" s="139" t="s">
        <v>225</v>
      </c>
      <c r="C27" s="146">
        <v>470006228</v>
      </c>
      <c r="D27" s="139"/>
      <c r="E27" s="139">
        <v>10</v>
      </c>
      <c r="F27" s="139"/>
      <c r="G27" s="139">
        <f>SUMIF(Stunden!D:D,B27,Stunden!P:P)</f>
        <v>0</v>
      </c>
      <c r="H27" s="141">
        <f>TaskNEU!$F27-TaskNEU!$G27</f>
        <v>0</v>
      </c>
      <c r="K27" s="138" t="str">
        <f>IF(L28="","",MAX(K$2:K25)+1)</f>
        <v/>
      </c>
      <c r="L27" s="139"/>
      <c r="M27" s="140"/>
      <c r="N27" s="139"/>
      <c r="O27" s="139"/>
      <c r="P27" s="139"/>
      <c r="Q27" s="139"/>
      <c r="R27" s="141"/>
      <c r="T27" s="44"/>
      <c r="U27" s="45"/>
      <c r="V27" s="44"/>
    </row>
    <row r="28" spans="1:22" x14ac:dyDescent="0.25">
      <c r="A28" s="134">
        <f>IF(B28="","",MAX(A$3:A27)+1)</f>
        <v>26</v>
      </c>
      <c r="B28" s="135" t="s">
        <v>251</v>
      </c>
      <c r="C28" s="136" t="s">
        <v>252</v>
      </c>
      <c r="D28" s="135"/>
      <c r="E28" s="135">
        <v>20</v>
      </c>
      <c r="F28" s="135">
        <v>240</v>
      </c>
      <c r="G28" s="135">
        <f>SUMIF(Stunden!D:D,B28,Stunden!P:P)</f>
        <v>0</v>
      </c>
      <c r="H28" s="137">
        <f>TaskNEU!$F28-TaskNEU!$G28</f>
        <v>240</v>
      </c>
      <c r="K28" s="134" t="str">
        <f>IF(L29="","",MAX(K$2:K26)+1)</f>
        <v/>
      </c>
      <c r="L28" s="135"/>
      <c r="M28" s="136"/>
      <c r="N28" s="135"/>
      <c r="O28" s="135"/>
      <c r="P28" s="135"/>
      <c r="Q28" s="135"/>
      <c r="R28" s="137"/>
      <c r="T28" s="12"/>
      <c r="U28" s="13" t="s">
        <v>159</v>
      </c>
      <c r="V28" s="12"/>
    </row>
    <row r="29" spans="1:22" x14ac:dyDescent="0.25">
      <c r="A29" s="138">
        <f>IF(B29="","",MAX(A$3:A28)+1)</f>
        <v>27</v>
      </c>
      <c r="B29" s="139" t="s">
        <v>253</v>
      </c>
      <c r="C29" s="140"/>
      <c r="D29" s="139" t="s">
        <v>254</v>
      </c>
      <c r="E29" s="139"/>
      <c r="F29" s="139"/>
      <c r="G29" s="139">
        <f>SUMIF(Stunden!D:D,B29,Stunden!P:P)</f>
        <v>0</v>
      </c>
      <c r="H29" s="141">
        <f>TaskNEU!$F29-TaskNEU!$G29</f>
        <v>0</v>
      </c>
      <c r="K29" s="138" t="str">
        <f>IF(L30="","",MAX(K$2:K27)+1)</f>
        <v/>
      </c>
      <c r="L29" s="139"/>
      <c r="M29" s="140"/>
      <c r="N29" s="139"/>
      <c r="O29" s="139"/>
      <c r="P29" s="139"/>
      <c r="Q29" s="139"/>
      <c r="R29" s="141"/>
      <c r="T29" s="44"/>
      <c r="U29" s="45"/>
      <c r="V29" s="44"/>
    </row>
    <row r="30" spans="1:22" x14ac:dyDescent="0.25">
      <c r="A30" s="134" t="str">
        <f>IF(B30="","",MAX(A$3:A29)+1)</f>
        <v/>
      </c>
      <c r="B30" s="135"/>
      <c r="C30" s="136"/>
      <c r="D30" s="135"/>
      <c r="E30" s="135"/>
      <c r="F30" s="135"/>
      <c r="G30" s="135">
        <f>SUMIF(Stunden!D:D,B30,Stunden!P:P)</f>
        <v>0</v>
      </c>
      <c r="H30" s="137">
        <f>TaskNEU!$F30-TaskNEU!$G30</f>
        <v>0</v>
      </c>
      <c r="K30" s="134" t="str">
        <f>IF(L31="","",MAX(K$2:K28)+1)</f>
        <v/>
      </c>
      <c r="L30" s="135"/>
      <c r="M30" s="136"/>
      <c r="N30" s="135"/>
      <c r="O30" s="135"/>
      <c r="P30" s="135"/>
      <c r="Q30" s="135"/>
      <c r="R30" s="137"/>
      <c r="T30" s="12"/>
      <c r="U30" s="13" t="s">
        <v>160</v>
      </c>
      <c r="V30" s="12"/>
    </row>
    <row r="31" spans="1:22" x14ac:dyDescent="0.25">
      <c r="A31" s="138" t="str">
        <f>IF(B31="","",MAX(A$3:A30)+1)</f>
        <v/>
      </c>
      <c r="B31" s="139"/>
      <c r="C31" s="140"/>
      <c r="D31" s="139"/>
      <c r="E31" s="139"/>
      <c r="F31" s="139"/>
      <c r="G31" s="139">
        <f>SUMIF(Stunden!D:D,B31,Stunden!P:P)</f>
        <v>0</v>
      </c>
      <c r="H31" s="141">
        <f>TaskNEU!$F31-TaskNEU!$G31</f>
        <v>0</v>
      </c>
      <c r="K31" s="138" t="str">
        <f>IF(L32="","",MAX(K$2:K29)+1)</f>
        <v/>
      </c>
      <c r="L31" s="139"/>
      <c r="M31" s="140"/>
      <c r="N31" s="139"/>
      <c r="O31" s="139"/>
      <c r="P31" s="139"/>
      <c r="Q31" s="139"/>
      <c r="R31" s="141"/>
      <c r="T31" s="44"/>
      <c r="U31" s="45"/>
      <c r="V31" s="44"/>
    </row>
    <row r="32" spans="1:22" x14ac:dyDescent="0.25">
      <c r="A32" s="134" t="str">
        <f>IF(B32="","",MAX(A$3:A31)+1)</f>
        <v/>
      </c>
      <c r="B32" s="135"/>
      <c r="C32" s="136"/>
      <c r="D32" s="135"/>
      <c r="E32" s="135"/>
      <c r="F32" s="135"/>
      <c r="G32" s="135">
        <f>SUMIF(Stunden!D:D,B32,Stunden!P:P)</f>
        <v>0</v>
      </c>
      <c r="H32" s="137">
        <f>TaskNEU!$F32-TaskNEU!$G32</f>
        <v>0</v>
      </c>
      <c r="K32" s="134" t="str">
        <f>IF(L33="","",MAX(K$2:K30)+1)</f>
        <v/>
      </c>
      <c r="L32" s="135"/>
      <c r="M32" s="136"/>
      <c r="N32" s="135"/>
      <c r="O32" s="135"/>
      <c r="P32" s="135"/>
      <c r="Q32" s="135"/>
      <c r="R32" s="137"/>
      <c r="T32" s="12"/>
      <c r="U32" s="13" t="s">
        <v>161</v>
      </c>
      <c r="V32" s="12"/>
    </row>
    <row r="33" spans="1:22" x14ac:dyDescent="0.25">
      <c r="A33" s="138" t="str">
        <f>IF(B33="","",MAX(A$3:A32)+1)</f>
        <v/>
      </c>
      <c r="B33" s="139"/>
      <c r="C33" s="140"/>
      <c r="D33" s="139"/>
      <c r="E33" s="139"/>
      <c r="F33" s="139"/>
      <c r="G33" s="139">
        <f>SUMIF(Stunden!D:D,B33,Stunden!P:P)</f>
        <v>0</v>
      </c>
      <c r="H33" s="141">
        <f>TaskNEU!$F33-TaskNEU!$G33</f>
        <v>0</v>
      </c>
      <c r="K33" s="138" t="str">
        <f>IF(L34="","",MAX(K$2:K31)+1)</f>
        <v/>
      </c>
      <c r="L33" s="139"/>
      <c r="M33" s="140"/>
      <c r="N33" s="139"/>
      <c r="O33" s="139"/>
      <c r="P33" s="139"/>
      <c r="Q33" s="139"/>
      <c r="R33" s="141"/>
      <c r="T33" s="44"/>
      <c r="U33" s="45"/>
      <c r="V33" s="44"/>
    </row>
    <row r="34" spans="1:22" x14ac:dyDescent="0.25">
      <c r="A34" s="134" t="str">
        <f>IF(B34="","",MAX(A$3:A33)+1)</f>
        <v/>
      </c>
      <c r="B34" s="135"/>
      <c r="C34" s="136"/>
      <c r="D34" s="135"/>
      <c r="E34" s="135"/>
      <c r="F34" s="135"/>
      <c r="G34" s="135">
        <f>SUMIF(Stunden!D:D,B34,Stunden!P:P)</f>
        <v>0</v>
      </c>
      <c r="H34" s="137">
        <f>TaskNEU!$F34-TaskNEU!$G34</f>
        <v>0</v>
      </c>
      <c r="K34" s="134" t="str">
        <f>IF(L35="","",MAX(K$2:K32)+1)</f>
        <v/>
      </c>
      <c r="L34" s="135"/>
      <c r="M34" s="136"/>
      <c r="N34" s="135"/>
      <c r="O34" s="135"/>
      <c r="P34" s="135"/>
      <c r="Q34" s="135"/>
      <c r="R34" s="137"/>
      <c r="T34" s="12"/>
      <c r="U34" s="13" t="s">
        <v>162</v>
      </c>
      <c r="V34" s="12"/>
    </row>
    <row r="35" spans="1:22" x14ac:dyDescent="0.25">
      <c r="A35" s="138" t="str">
        <f>IF(B35="","",MAX(A$3:A34)+1)</f>
        <v/>
      </c>
      <c r="B35" s="139"/>
      <c r="C35" s="140"/>
      <c r="D35" s="139"/>
      <c r="E35" s="139"/>
      <c r="F35" s="139"/>
      <c r="G35" s="139">
        <f>SUMIF(Stunden!D:D,B35,Stunden!P:P)</f>
        <v>0</v>
      </c>
      <c r="H35" s="141">
        <f>TaskNEU!$F35-TaskNEU!$G35</f>
        <v>0</v>
      </c>
      <c r="K35" s="138" t="str">
        <f>IF(L36="","",MAX(K$2:K33)+1)</f>
        <v/>
      </c>
      <c r="L35" s="139"/>
      <c r="M35" s="140"/>
      <c r="N35" s="139"/>
      <c r="O35" s="139"/>
      <c r="P35" s="139"/>
      <c r="Q35" s="139"/>
      <c r="R35" s="141"/>
      <c r="T35" s="44"/>
      <c r="U35" s="45"/>
      <c r="V35" s="44"/>
    </row>
    <row r="36" spans="1:22" x14ac:dyDescent="0.25">
      <c r="A36" s="129" t="str">
        <f>IF(B36="","",MAX(A$3:A35)+1)</f>
        <v/>
      </c>
      <c r="B36" s="44"/>
      <c r="C36" s="45"/>
      <c r="D36" s="44"/>
      <c r="E36" s="44"/>
      <c r="F36" s="44"/>
      <c r="G36" s="44">
        <f>SUMIF(Stunden!D:D,B36,Stunden!P:P)</f>
        <v>0</v>
      </c>
      <c r="H36" s="48">
        <f>TaskNEU!$F36-TaskNEU!$G36</f>
        <v>0</v>
      </c>
      <c r="K36" s="129" t="str">
        <f>IF(L37="","",MAX(K$2:K34)+1)</f>
        <v/>
      </c>
      <c r="L36" s="44"/>
      <c r="M36" s="45"/>
      <c r="N36" s="44"/>
      <c r="O36" s="44"/>
      <c r="P36" s="44"/>
      <c r="Q36" s="44"/>
      <c r="R36" s="48"/>
      <c r="T36" s="12"/>
      <c r="U36" s="13" t="s">
        <v>163</v>
      </c>
      <c r="V36" s="12"/>
    </row>
    <row r="37" spans="1:22" x14ac:dyDescent="0.25">
      <c r="K37" s="12"/>
      <c r="L37" s="13"/>
      <c r="M37" s="10"/>
      <c r="N37" s="12"/>
      <c r="O37" s="13"/>
      <c r="P37" s="10"/>
      <c r="Q37" s="12"/>
      <c r="T37" s="44"/>
      <c r="U37" s="45"/>
      <c r="V37" s="44"/>
    </row>
    <row r="38" spans="1:22" x14ac:dyDescent="0.25">
      <c r="K38" s="12"/>
      <c r="L38" s="12"/>
      <c r="M38" s="12"/>
      <c r="N38" s="12"/>
      <c r="O38" s="12"/>
      <c r="P38" s="12"/>
      <c r="Q38" s="12"/>
      <c r="T38" s="12"/>
      <c r="U38" s="13" t="s">
        <v>164</v>
      </c>
      <c r="V38" s="12"/>
    </row>
    <row r="39" spans="1:22" x14ac:dyDescent="0.25">
      <c r="K39" s="12"/>
      <c r="L39" s="12"/>
      <c r="M39" s="12"/>
      <c r="N39" s="12"/>
      <c r="O39" s="12"/>
      <c r="P39" s="12"/>
      <c r="Q39" s="12"/>
      <c r="T39" s="44"/>
      <c r="U39" s="45"/>
      <c r="V39" s="44"/>
    </row>
    <row r="40" spans="1:22" x14ac:dyDescent="0.25">
      <c r="K40" s="12"/>
      <c r="L40" s="12"/>
      <c r="M40" s="12"/>
      <c r="N40" s="12"/>
      <c r="O40" s="12"/>
      <c r="P40" s="12"/>
      <c r="Q40" s="12"/>
      <c r="T40" s="12"/>
      <c r="U40" s="13" t="s">
        <v>165</v>
      </c>
      <c r="V40" s="12"/>
    </row>
    <row r="41" spans="1:22" x14ac:dyDescent="0.25">
      <c r="K41" s="9"/>
      <c r="L41" s="9"/>
      <c r="M41" s="9"/>
      <c r="N41" s="9"/>
      <c r="O41" s="9"/>
      <c r="P41" s="9"/>
      <c r="Q41" s="9"/>
      <c r="T41" s="44"/>
      <c r="U41" s="45"/>
      <c r="V41" s="44"/>
    </row>
    <row r="42" spans="1:22" x14ac:dyDescent="0.25">
      <c r="B42" s="96"/>
      <c r="K42" s="12"/>
      <c r="L42" s="13"/>
      <c r="M42" s="12"/>
      <c r="N42" s="12"/>
      <c r="O42" s="13"/>
      <c r="P42" s="12"/>
      <c r="Q42" s="12"/>
      <c r="T42" s="12"/>
      <c r="U42" s="13" t="s">
        <v>166</v>
      </c>
      <c r="V42" s="12"/>
    </row>
    <row r="43" spans="1:22" x14ac:dyDescent="0.25">
      <c r="T43" s="44"/>
      <c r="U43" s="45"/>
      <c r="V43" s="44"/>
    </row>
    <row r="44" spans="1:22" x14ac:dyDescent="0.25">
      <c r="T44" s="12"/>
      <c r="U44" s="13" t="s">
        <v>167</v>
      </c>
      <c r="V44" s="12"/>
    </row>
    <row r="45" spans="1:22" x14ac:dyDescent="0.25">
      <c r="T45" s="44"/>
      <c r="U45" s="45"/>
      <c r="V45" s="44"/>
    </row>
  </sheetData>
  <mergeCells count="1">
    <mergeCell ref="J1:J5"/>
  </mergeCells>
  <phoneticPr fontId="16" type="noConversion"/>
  <pageMargins left="0.7" right="0.7" top="0.78740157499999996" bottom="0.78740157499999996" header="0.3" footer="0.3"/>
  <pageSetup paperSize="9" orientation="portrait" r:id="rId1"/>
  <headerFooter>
    <oddFooter>&amp;C&amp;1#&amp;"Arial"&amp;8&amp;K869197Internal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932EC-B878-49A4-9618-1A0855404D0B}">
  <sheetPr codeName="Sheet2"/>
  <dimension ref="A1:I38"/>
  <sheetViews>
    <sheetView zoomScaleNormal="100" workbookViewId="0">
      <selection activeCell="D14" sqref="D14"/>
    </sheetView>
  </sheetViews>
  <sheetFormatPr defaultColWidth="24" defaultRowHeight="15" x14ac:dyDescent="0.25"/>
  <cols>
    <col min="1" max="1" width="16.42578125" bestFit="1" customWidth="1"/>
    <col min="2" max="2" width="10.5703125" bestFit="1" customWidth="1"/>
    <col min="3" max="3" width="18" bestFit="1" customWidth="1"/>
    <col min="4" max="4" width="8.5703125" customWidth="1"/>
    <col min="5" max="5" width="9.5703125" customWidth="1"/>
    <col min="6" max="6" width="8.5703125" bestFit="1" customWidth="1"/>
    <col min="7" max="7" width="9.5703125" bestFit="1" customWidth="1"/>
    <col min="8" max="8" width="71.85546875" customWidth="1"/>
    <col min="9" max="9" width="6.28515625" bestFit="1" customWidth="1"/>
  </cols>
  <sheetData>
    <row r="1" spans="1:9" ht="15.75" thickBot="1" x14ac:dyDescent="0.3">
      <c r="A1" s="74" t="s">
        <v>117</v>
      </c>
      <c r="B1" s="43"/>
      <c r="C1" s="43"/>
      <c r="D1" s="43"/>
      <c r="E1" s="43"/>
      <c r="F1" s="43"/>
      <c r="G1" s="43"/>
      <c r="H1" s="43"/>
      <c r="I1" s="75"/>
    </row>
    <row r="2" spans="1:9" ht="15.75" thickBot="1" x14ac:dyDescent="0.3">
      <c r="A2" s="50"/>
      <c r="D2" s="225" t="s">
        <v>32</v>
      </c>
      <c r="E2" s="226"/>
      <c r="F2" s="226"/>
      <c r="G2" s="227"/>
      <c r="I2" s="76"/>
    </row>
    <row r="3" spans="1:9" ht="26.25" thickBot="1" x14ac:dyDescent="0.3">
      <c r="A3" s="77" t="s">
        <v>33</v>
      </c>
      <c r="B3" s="16" t="s">
        <v>34</v>
      </c>
      <c r="C3" s="16" t="s">
        <v>46</v>
      </c>
      <c r="D3" s="15" t="s">
        <v>29</v>
      </c>
      <c r="E3" s="15" t="s">
        <v>59</v>
      </c>
      <c r="F3" s="15" t="s">
        <v>35</v>
      </c>
      <c r="G3" s="17" t="s">
        <v>36</v>
      </c>
      <c r="H3" s="15" t="s">
        <v>47</v>
      </c>
      <c r="I3" s="171" t="s">
        <v>29</v>
      </c>
    </row>
    <row r="4" spans="1:9" ht="15.75" thickBot="1" x14ac:dyDescent="0.3">
      <c r="A4" s="88">
        <v>46146</v>
      </c>
      <c r="B4" s="88">
        <v>46150</v>
      </c>
      <c r="C4" s="16" t="s">
        <v>261</v>
      </c>
      <c r="D4" s="29">
        <v>5</v>
      </c>
      <c r="E4" s="90"/>
      <c r="F4" s="27"/>
      <c r="G4" s="27"/>
      <c r="H4" s="15"/>
      <c r="I4" s="64" t="str">
        <f ca="1">IF(AND(D4&gt;0,A4&gt;Statistik!$Q$1,B4&lt;Statistik!$P$1,F4="x",G4="x"),D4,"")</f>
        <v/>
      </c>
    </row>
    <row r="5" spans="1:9" ht="15.75" thickBot="1" x14ac:dyDescent="0.3">
      <c r="A5" s="88">
        <v>46168</v>
      </c>
      <c r="B5" s="88">
        <v>46168</v>
      </c>
      <c r="C5" s="16" t="s">
        <v>234</v>
      </c>
      <c r="D5" s="29">
        <v>1</v>
      </c>
      <c r="E5" s="90"/>
      <c r="F5" s="27"/>
      <c r="G5" s="27"/>
      <c r="H5" s="15"/>
      <c r="I5" s="64" t="str">
        <f ca="1">IF(AND(D5&gt;0,A5&gt;Statistik!$Q$1,B5&lt;Statistik!$P$1,F5="x",G5="x"),D5,"")</f>
        <v/>
      </c>
    </row>
    <row r="6" spans="1:9" ht="15.75" thickBot="1" x14ac:dyDescent="0.3">
      <c r="A6" s="88">
        <v>46244</v>
      </c>
      <c r="B6" s="89">
        <v>46255</v>
      </c>
      <c r="C6" s="16" t="s">
        <v>250</v>
      </c>
      <c r="D6" s="29">
        <v>10</v>
      </c>
      <c r="E6" s="90"/>
      <c r="F6" s="27"/>
      <c r="G6" s="27"/>
      <c r="H6" s="15"/>
      <c r="I6" s="64" t="str">
        <f ca="1">IF(AND(D6&gt;0,A6&gt;Statistik!$Q$1,B6&lt;Statistik!$P$1,F6="x",G6="x"),D6,"")</f>
        <v/>
      </c>
    </row>
    <row r="7" spans="1:9" ht="15.75" thickBot="1" x14ac:dyDescent="0.3">
      <c r="A7" s="78">
        <v>46301</v>
      </c>
      <c r="B7" s="78">
        <v>46301</v>
      </c>
      <c r="C7" s="16"/>
      <c r="D7" s="29">
        <v>1</v>
      </c>
      <c r="E7" s="90"/>
      <c r="F7" s="27"/>
      <c r="G7" s="27"/>
      <c r="H7" s="15"/>
      <c r="I7" s="64" t="str">
        <f ca="1">IF(AND(D7&gt;0,A7&gt;Statistik!$Q$1,B7&lt;Statistik!$P$1,F7="x",G7="x"),D7,"")</f>
        <v/>
      </c>
    </row>
    <row r="8" spans="1:9" ht="15.75" thickBot="1" x14ac:dyDescent="0.3">
      <c r="A8" s="78">
        <v>46377</v>
      </c>
      <c r="B8" s="46">
        <v>46393</v>
      </c>
      <c r="C8" s="16" t="s">
        <v>238</v>
      </c>
      <c r="D8" s="29">
        <v>11</v>
      </c>
      <c r="E8" s="90"/>
      <c r="F8" s="27"/>
      <c r="G8" s="27"/>
      <c r="H8" s="15"/>
      <c r="I8" s="64" t="str">
        <f ca="1">IF(AND(D8&gt;0,A8&gt;Statistik!$Q$1,B8&lt;Statistik!$P$1,F8="x",G8="x"),D8,"")</f>
        <v/>
      </c>
    </row>
    <row r="9" spans="1:9" ht="15.75" thickBot="1" x14ac:dyDescent="0.3">
      <c r="A9" s="78"/>
      <c r="B9" s="46"/>
      <c r="C9" s="16"/>
      <c r="D9" s="29"/>
      <c r="E9" s="90"/>
      <c r="F9" s="27"/>
      <c r="G9" s="27"/>
      <c r="H9" s="15"/>
      <c r="I9" s="64" t="str">
        <f ca="1">IF(AND(D9&gt;0,A9&gt;Statistik!$Q$1,B9&lt;Statistik!$P$1,F9="x",G9="x"),D9,"")</f>
        <v/>
      </c>
    </row>
    <row r="10" spans="1:9" ht="15.75" thickBot="1" x14ac:dyDescent="0.3">
      <c r="A10" s="78"/>
      <c r="B10" s="46"/>
      <c r="C10" s="16"/>
      <c r="D10" s="29"/>
      <c r="E10" s="90"/>
      <c r="F10" s="27"/>
      <c r="G10" s="27"/>
      <c r="H10" s="15"/>
      <c r="I10" s="64" t="str">
        <f ca="1">IF(AND(D10&gt;0,A10&gt;Statistik!$Q$1,B10&lt;Statistik!$P$1,F10="x",G10="x"),D10,"")</f>
        <v/>
      </c>
    </row>
    <row r="11" spans="1:9" ht="15.75" thickBot="1" x14ac:dyDescent="0.3">
      <c r="A11" s="78"/>
      <c r="B11" s="46"/>
      <c r="C11" s="16"/>
      <c r="D11" s="29"/>
      <c r="E11" s="90"/>
      <c r="F11" s="27"/>
      <c r="G11" s="27"/>
      <c r="H11" s="29"/>
      <c r="I11" s="64" t="str">
        <f ca="1">IF(AND(D11&gt;0,A11&gt;Statistik!$Q$1,B11&lt;Statistik!$P$1,F11="x",G11="x"),D11,"")</f>
        <v/>
      </c>
    </row>
    <row r="12" spans="1:9" x14ac:dyDescent="0.25">
      <c r="A12" s="50"/>
      <c r="I12" s="76"/>
    </row>
    <row r="13" spans="1:9" x14ac:dyDescent="0.25">
      <c r="A13" s="50"/>
      <c r="C13" s="149" t="s">
        <v>37</v>
      </c>
      <c r="D13" s="150">
        <f>SUM(D4:D11)</f>
        <v>28</v>
      </c>
      <c r="G13" s="38">
        <v>28</v>
      </c>
      <c r="H13" s="38" t="s">
        <v>53</v>
      </c>
      <c r="I13" s="76"/>
    </row>
    <row r="14" spans="1:9" x14ac:dyDescent="0.25">
      <c r="A14" s="50"/>
      <c r="C14" s="149" t="s">
        <v>80</v>
      </c>
      <c r="D14" s="149">
        <f ca="1">SUM(I4:I11)</f>
        <v>0</v>
      </c>
      <c r="G14" s="38">
        <v>0</v>
      </c>
      <c r="H14" s="38" t="s">
        <v>55</v>
      </c>
      <c r="I14" s="76"/>
    </row>
    <row r="15" spans="1:9" x14ac:dyDescent="0.25">
      <c r="A15" s="50"/>
      <c r="G15" s="38">
        <f>G13+G14-D13</f>
        <v>0</v>
      </c>
      <c r="H15" s="38" t="s">
        <v>54</v>
      </c>
      <c r="I15" s="76"/>
    </row>
    <row r="16" spans="1:9" x14ac:dyDescent="0.25">
      <c r="A16" s="50"/>
      <c r="C16" s="149" t="s">
        <v>81</v>
      </c>
      <c r="D16" s="150" cm="1">
        <f t="array" ref="D16">SUM((E4:E11)/8)</f>
        <v>0</v>
      </c>
      <c r="H16" s="38"/>
      <c r="I16" s="76"/>
    </row>
    <row r="17" spans="1:9" x14ac:dyDescent="0.25">
      <c r="A17" s="50"/>
      <c r="C17" s="149"/>
      <c r="D17" s="150"/>
      <c r="I17" s="76"/>
    </row>
    <row r="18" spans="1:9" x14ac:dyDescent="0.25">
      <c r="A18" s="79"/>
      <c r="B18" s="70"/>
      <c r="C18" s="70"/>
      <c r="D18" s="70"/>
      <c r="E18" s="70"/>
      <c r="F18" s="70"/>
      <c r="G18" s="70"/>
      <c r="H18" s="70"/>
      <c r="I18" s="76"/>
    </row>
    <row r="19" spans="1:9" x14ac:dyDescent="0.25">
      <c r="A19" s="50"/>
      <c r="I19" s="76"/>
    </row>
    <row r="20" spans="1:9" ht="15.75" thickBot="1" x14ac:dyDescent="0.3">
      <c r="A20" s="74" t="s">
        <v>215</v>
      </c>
      <c r="B20" s="43"/>
      <c r="C20" s="43"/>
      <c r="D20" s="43"/>
      <c r="E20" s="43"/>
      <c r="F20" s="43"/>
      <c r="G20" s="43"/>
      <c r="H20" s="43"/>
      <c r="I20" s="76"/>
    </row>
    <row r="21" spans="1:9" ht="15.75" thickBot="1" x14ac:dyDescent="0.3">
      <c r="A21" s="50"/>
      <c r="D21" s="225" t="s">
        <v>32</v>
      </c>
      <c r="E21" s="226"/>
      <c r="F21" s="226"/>
      <c r="G21" s="227"/>
      <c r="I21" s="76"/>
    </row>
    <row r="22" spans="1:9" ht="26.25" thickBot="1" x14ac:dyDescent="0.3">
      <c r="A22" s="77" t="s">
        <v>33</v>
      </c>
      <c r="B22" s="16" t="s">
        <v>34</v>
      </c>
      <c r="C22" s="16" t="s">
        <v>46</v>
      </c>
      <c r="D22" s="15" t="s">
        <v>118</v>
      </c>
      <c r="E22" s="15"/>
      <c r="F22" s="15" t="s">
        <v>35</v>
      </c>
      <c r="G22" s="17" t="s">
        <v>36</v>
      </c>
      <c r="H22" s="15" t="s">
        <v>47</v>
      </c>
      <c r="I22" s="81"/>
    </row>
    <row r="23" spans="1:9" ht="15.75" thickBot="1" x14ac:dyDescent="0.3">
      <c r="A23" s="82"/>
      <c r="B23" s="83"/>
      <c r="C23" s="16"/>
      <c r="D23" s="29"/>
      <c r="E23" s="28"/>
      <c r="F23" s="27"/>
      <c r="G23" s="27"/>
      <c r="H23" s="15"/>
      <c r="I23" s="81"/>
    </row>
    <row r="24" spans="1:9" ht="15.75" thickBot="1" x14ac:dyDescent="0.3">
      <c r="A24" s="82"/>
      <c r="B24" s="83"/>
      <c r="C24" s="16"/>
      <c r="D24" s="29"/>
      <c r="E24" s="28"/>
      <c r="F24" s="27"/>
      <c r="G24" s="27"/>
      <c r="H24" s="15"/>
      <c r="I24" s="81"/>
    </row>
    <row r="25" spans="1:9" ht="15.75" thickBot="1" x14ac:dyDescent="0.3">
      <c r="A25" s="82"/>
      <c r="B25" s="83"/>
      <c r="C25" s="16"/>
      <c r="D25" s="29"/>
      <c r="E25" s="28"/>
      <c r="F25" s="27"/>
      <c r="G25" s="27"/>
      <c r="H25" s="15"/>
      <c r="I25" s="81"/>
    </row>
    <row r="26" spans="1:9" ht="15.75" thickBot="1" x14ac:dyDescent="0.3">
      <c r="A26" s="82"/>
      <c r="B26" s="83"/>
      <c r="C26" s="16"/>
      <c r="D26" s="29"/>
      <c r="E26" s="28"/>
      <c r="F26" s="27"/>
      <c r="G26" s="27"/>
      <c r="H26" s="15"/>
      <c r="I26" s="81"/>
    </row>
    <row r="27" spans="1:9" ht="15.75" thickBot="1" x14ac:dyDescent="0.3">
      <c r="A27" s="82"/>
      <c r="B27" s="83"/>
      <c r="C27" s="16"/>
      <c r="D27" s="29"/>
      <c r="E27" s="28"/>
      <c r="F27" s="27"/>
      <c r="G27" s="27"/>
      <c r="H27" s="15"/>
      <c r="I27" s="81"/>
    </row>
    <row r="28" spans="1:9" ht="15.75" thickBot="1" x14ac:dyDescent="0.3">
      <c r="A28" s="82"/>
      <c r="B28" s="83"/>
      <c r="C28" s="16"/>
      <c r="D28" s="29"/>
      <c r="E28" s="28"/>
      <c r="F28" s="27"/>
      <c r="G28" s="27"/>
      <c r="H28" s="29"/>
      <c r="I28" s="81"/>
    </row>
    <row r="29" spans="1:9" ht="15.75" thickBot="1" x14ac:dyDescent="0.3">
      <c r="A29" s="82"/>
      <c r="B29" s="83"/>
      <c r="C29" s="16"/>
      <c r="D29" s="29"/>
      <c r="E29" s="28"/>
      <c r="F29" s="27"/>
      <c r="G29" s="27"/>
      <c r="H29" s="29"/>
      <c r="I29" s="81"/>
    </row>
    <row r="30" spans="1:9" ht="15.75" thickBot="1" x14ac:dyDescent="0.3">
      <c r="A30" s="82"/>
      <c r="B30" s="83"/>
      <c r="C30" s="16"/>
      <c r="D30" s="29"/>
      <c r="E30" s="28"/>
      <c r="F30" s="27"/>
      <c r="G30" s="27"/>
      <c r="H30" s="29"/>
      <c r="I30" s="81"/>
    </row>
    <row r="31" spans="1:9" x14ac:dyDescent="0.25">
      <c r="A31" s="125"/>
      <c r="B31" s="151"/>
      <c r="C31" s="152"/>
      <c r="D31" s="152"/>
      <c r="E31" s="152"/>
      <c r="F31" s="148"/>
      <c r="G31" s="148"/>
      <c r="H31" s="152"/>
      <c r="I31" s="81"/>
    </row>
    <row r="32" spans="1:9" x14ac:dyDescent="0.25">
      <c r="A32" s="50"/>
      <c r="I32" s="76"/>
    </row>
    <row r="33" spans="1:9" x14ac:dyDescent="0.25">
      <c r="A33" s="50"/>
      <c r="C33" s="149" t="s">
        <v>119</v>
      </c>
      <c r="D33" s="150">
        <f>SUM(D23:D30)</f>
        <v>0</v>
      </c>
      <c r="G33" s="152"/>
      <c r="H33" s="152"/>
      <c r="I33" s="76"/>
    </row>
    <row r="34" spans="1:9" x14ac:dyDescent="0.25">
      <c r="A34" s="50"/>
      <c r="C34" s="149" t="s">
        <v>120</v>
      </c>
      <c r="D34" s="149">
        <f>SUM(I23:I30)</f>
        <v>0</v>
      </c>
      <c r="G34" s="152"/>
      <c r="H34" s="152"/>
      <c r="I34" s="76"/>
    </row>
    <row r="35" spans="1:9" x14ac:dyDescent="0.25">
      <c r="A35" s="50"/>
      <c r="G35" s="152"/>
      <c r="H35" s="152"/>
      <c r="I35" s="76"/>
    </row>
    <row r="36" spans="1:9" x14ac:dyDescent="0.25">
      <c r="A36" s="50"/>
      <c r="C36" s="149"/>
      <c r="D36" s="150"/>
      <c r="H36" s="152"/>
      <c r="I36" s="76"/>
    </row>
    <row r="37" spans="1:9" x14ac:dyDescent="0.25">
      <c r="A37" s="50"/>
      <c r="C37" s="149"/>
      <c r="D37" s="150"/>
      <c r="I37" s="76"/>
    </row>
    <row r="38" spans="1:9" x14ac:dyDescent="0.25">
      <c r="A38" s="79"/>
      <c r="B38" s="70"/>
      <c r="C38" s="70"/>
      <c r="D38" s="70"/>
      <c r="E38" s="70"/>
      <c r="F38" s="70"/>
      <c r="G38" s="70"/>
      <c r="H38" s="70"/>
      <c r="I38" s="80"/>
    </row>
  </sheetData>
  <mergeCells count="2">
    <mergeCell ref="D2:G2"/>
    <mergeCell ref="D21:G21"/>
  </mergeCells>
  <pageMargins left="0.7" right="0.7" top="0.75" bottom="0.75" header="0.3" footer="0.3"/>
  <pageSetup paperSize="9" scale="89" orientation="portrait" r:id="rId1"/>
  <headerFooter>
    <oddFooter>&amp;C&amp;1#&amp;"Arial"&amp;8&amp;K869197Internal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71B00-0045-4370-819E-F7F199E636A7}">
  <sheetPr codeName="Sheet6"/>
  <dimension ref="A1:Z22"/>
  <sheetViews>
    <sheetView workbookViewId="0">
      <selection activeCell="K16" sqref="K16"/>
    </sheetView>
  </sheetViews>
  <sheetFormatPr defaultRowHeight="15" x14ac:dyDescent="0.25"/>
  <cols>
    <col min="20" max="20" width="10.5703125" bestFit="1" customWidth="1"/>
    <col min="21" max="21" width="10.140625" customWidth="1"/>
  </cols>
  <sheetData>
    <row r="1" spans="1:26" x14ac:dyDescent="0.25">
      <c r="A1" s="35" t="s">
        <v>170</v>
      </c>
      <c r="C1" s="31"/>
      <c r="E1" t="s">
        <v>60</v>
      </c>
      <c r="F1" s="8" t="s">
        <v>22</v>
      </c>
      <c r="H1" s="34">
        <v>310</v>
      </c>
      <c r="I1" s="25" t="s">
        <v>12</v>
      </c>
      <c r="J1" s="26"/>
      <c r="L1" s="24" t="s">
        <v>31</v>
      </c>
      <c r="M1" s="30"/>
      <c r="N1" s="30"/>
      <c r="O1" s="31" t="s">
        <v>260</v>
      </c>
      <c r="R1" t="s">
        <v>226</v>
      </c>
      <c r="T1" s="36">
        <f ca="1">TODAY()</f>
        <v>46183</v>
      </c>
      <c r="X1" t="s">
        <v>8</v>
      </c>
      <c r="Y1" t="s">
        <v>97</v>
      </c>
      <c r="Z1" s="8" t="s">
        <v>102</v>
      </c>
    </row>
    <row r="2" spans="1:26" x14ac:dyDescent="0.25">
      <c r="A2" s="35" t="s">
        <v>25</v>
      </c>
      <c r="B2" s="30"/>
      <c r="C2" s="31"/>
      <c r="E2" t="s">
        <v>61</v>
      </c>
      <c r="F2" s="8" t="s">
        <v>23</v>
      </c>
      <c r="H2" s="34">
        <v>320</v>
      </c>
      <c r="I2" s="25" t="s">
        <v>14</v>
      </c>
      <c r="J2" s="26"/>
      <c r="L2" s="24" t="s">
        <v>49</v>
      </c>
      <c r="M2" s="30"/>
      <c r="N2" s="30"/>
      <c r="O2" s="32">
        <v>1.6666666666666667</v>
      </c>
      <c r="R2" s="31" t="s">
        <v>229</v>
      </c>
      <c r="T2" s="36">
        <v>46023</v>
      </c>
      <c r="U2" s="31" t="str">
        <f>IF(T2&gt;1,CHOOSE(WEEKDAY(T2,2),"Montag","Dienstag","Mittwoch","Donnerstag","Freitag","Samstag","Sonntag"),"")</f>
        <v>Donnerstag</v>
      </c>
      <c r="V2">
        <f ca="1">IF(OR(U2="Samstag",U2="Sonntag"),0,IF(T2&lt;T$1,1,0))</f>
        <v>1</v>
      </c>
      <c r="X2" s="8" t="s">
        <v>103</v>
      </c>
      <c r="Y2" s="8">
        <v>1000</v>
      </c>
      <c r="Z2" s="51" t="s">
        <v>104</v>
      </c>
    </row>
    <row r="3" spans="1:26" x14ac:dyDescent="0.25">
      <c r="A3" s="35" t="s">
        <v>29</v>
      </c>
      <c r="B3" s="30"/>
      <c r="C3" s="31"/>
      <c r="E3" t="s">
        <v>62</v>
      </c>
      <c r="H3" s="34">
        <v>330</v>
      </c>
      <c r="I3" s="25" t="s">
        <v>13</v>
      </c>
      <c r="J3" s="26"/>
      <c r="L3" s="24" t="s">
        <v>50</v>
      </c>
      <c r="M3" s="30"/>
      <c r="N3" s="30"/>
      <c r="O3" s="33">
        <v>0.25</v>
      </c>
      <c r="R3" s="31" t="s">
        <v>230</v>
      </c>
      <c r="T3" s="36">
        <v>46115</v>
      </c>
      <c r="U3" s="31" t="str">
        <f t="shared" ref="U3:U12" si="0">IF(T3&gt;1,CHOOSE(WEEKDAY(T3,2),"Montag","Dienstag","Mittwoch","Donnerstag","Freitag","Samstag","Sonntag"),"")</f>
        <v>Freitag</v>
      </c>
      <c r="V3">
        <f t="shared" ref="V3:V12" ca="1" si="1">IF(OR(U3="Samstag",U3="Sonntag"),0,IF(T3&lt;T$1,1,0))</f>
        <v>1</v>
      </c>
    </row>
    <row r="4" spans="1:26" x14ac:dyDescent="0.25">
      <c r="A4" s="35" t="s">
        <v>28</v>
      </c>
      <c r="B4" s="30"/>
      <c r="C4" s="31"/>
      <c r="E4" t="s">
        <v>63</v>
      </c>
      <c r="L4" s="24" t="s">
        <v>51</v>
      </c>
      <c r="M4" s="30"/>
      <c r="N4" s="30"/>
      <c r="O4" s="33">
        <v>2.0833333333333332E-2</v>
      </c>
      <c r="R4" s="31" t="s">
        <v>240</v>
      </c>
      <c r="T4" s="36">
        <v>46118</v>
      </c>
      <c r="U4" s="31" t="str">
        <f t="shared" si="0"/>
        <v>Montag</v>
      </c>
      <c r="V4">
        <f t="shared" ca="1" si="1"/>
        <v>1</v>
      </c>
    </row>
    <row r="5" spans="1:26" x14ac:dyDescent="0.25">
      <c r="A5" s="35" t="s">
        <v>26</v>
      </c>
      <c r="B5" s="30"/>
      <c r="C5" s="31"/>
      <c r="E5" t="s">
        <v>64</v>
      </c>
      <c r="L5" s="24" t="s">
        <v>52</v>
      </c>
      <c r="M5" s="30"/>
      <c r="N5" s="30"/>
      <c r="O5" s="33">
        <v>2.0833333333333332E-2</v>
      </c>
      <c r="R5" s="31" t="s">
        <v>241</v>
      </c>
      <c r="T5" s="36">
        <v>46143</v>
      </c>
      <c r="U5" s="31" t="str">
        <f t="shared" si="0"/>
        <v>Freitag</v>
      </c>
      <c r="V5">
        <f t="shared" ca="1" si="1"/>
        <v>1</v>
      </c>
    </row>
    <row r="6" spans="1:26" x14ac:dyDescent="0.25">
      <c r="A6" s="50" t="s">
        <v>82</v>
      </c>
      <c r="B6" s="30"/>
      <c r="C6" s="31"/>
      <c r="E6" t="s">
        <v>65</v>
      </c>
      <c r="L6" s="170" t="s">
        <v>239</v>
      </c>
      <c r="O6" t="s">
        <v>259</v>
      </c>
      <c r="R6" s="31" t="s">
        <v>242</v>
      </c>
      <c r="T6" s="36">
        <v>46156</v>
      </c>
      <c r="U6" s="31" t="str">
        <f t="shared" si="0"/>
        <v>Donnerstag</v>
      </c>
      <c r="V6">
        <f t="shared" ca="1" si="1"/>
        <v>1</v>
      </c>
    </row>
    <row r="7" spans="1:26" x14ac:dyDescent="0.25">
      <c r="A7" s="35" t="s">
        <v>27</v>
      </c>
      <c r="B7" s="30"/>
      <c r="C7" s="31"/>
      <c r="E7" t="s">
        <v>66</v>
      </c>
      <c r="L7" s="87" t="s">
        <v>127</v>
      </c>
      <c r="O7" s="7">
        <v>0.35416666666666669</v>
      </c>
      <c r="R7" s="31" t="s">
        <v>243</v>
      </c>
      <c r="T7" s="36">
        <v>46167</v>
      </c>
      <c r="U7" s="31" t="str">
        <f t="shared" si="0"/>
        <v>Montag</v>
      </c>
      <c r="V7">
        <f t="shared" ca="1" si="1"/>
        <v>1</v>
      </c>
    </row>
    <row r="8" spans="1:26" x14ac:dyDescent="0.25">
      <c r="A8" s="35" t="s">
        <v>24</v>
      </c>
      <c r="B8" s="30"/>
      <c r="C8" s="31"/>
      <c r="L8" s="87" t="s">
        <v>128</v>
      </c>
      <c r="O8" s="7">
        <v>0.25</v>
      </c>
      <c r="R8" s="31" t="s">
        <v>235</v>
      </c>
      <c r="T8" s="36">
        <v>46177</v>
      </c>
      <c r="U8" s="31" t="str">
        <f t="shared" si="0"/>
        <v>Donnerstag</v>
      </c>
      <c r="V8">
        <f t="shared" ca="1" si="1"/>
        <v>1</v>
      </c>
    </row>
    <row r="9" spans="1:26" x14ac:dyDescent="0.25">
      <c r="A9" s="50" t="s">
        <v>191</v>
      </c>
      <c r="R9" s="31" t="s">
        <v>244</v>
      </c>
      <c r="T9" s="36">
        <v>46298</v>
      </c>
      <c r="U9" s="31" t="str">
        <f t="shared" si="0"/>
        <v>Samstag</v>
      </c>
      <c r="V9">
        <f t="shared" si="1"/>
        <v>0</v>
      </c>
    </row>
    <row r="10" spans="1:26" x14ac:dyDescent="0.25">
      <c r="R10" s="31" t="s">
        <v>237</v>
      </c>
      <c r="T10" s="36">
        <v>46327</v>
      </c>
      <c r="U10" s="31" t="str">
        <f t="shared" si="0"/>
        <v>Sonntag</v>
      </c>
      <c r="V10">
        <f t="shared" si="1"/>
        <v>0</v>
      </c>
    </row>
    <row r="11" spans="1:26" x14ac:dyDescent="0.25">
      <c r="R11" s="31" t="s">
        <v>245</v>
      </c>
      <c r="T11" s="36">
        <v>46381</v>
      </c>
      <c r="U11" s="31" t="str">
        <f t="shared" si="0"/>
        <v>Freitag</v>
      </c>
      <c r="V11">
        <f t="shared" ca="1" si="1"/>
        <v>0</v>
      </c>
    </row>
    <row r="12" spans="1:26" x14ac:dyDescent="0.25">
      <c r="R12" s="31" t="s">
        <v>246</v>
      </c>
      <c r="T12" s="36">
        <v>46382</v>
      </c>
      <c r="U12" s="31" t="str">
        <f t="shared" si="0"/>
        <v>Samstag</v>
      </c>
      <c r="V12">
        <f t="shared" si="1"/>
        <v>0</v>
      </c>
    </row>
    <row r="15" spans="1:26" x14ac:dyDescent="0.25">
      <c r="A15" s="8" t="s">
        <v>22</v>
      </c>
    </row>
    <row r="16" spans="1:26" x14ac:dyDescent="0.25">
      <c r="A16" s="35" t="s">
        <v>29</v>
      </c>
    </row>
    <row r="17" spans="1:1" x14ac:dyDescent="0.25">
      <c r="A17" s="35" t="s">
        <v>28</v>
      </c>
    </row>
    <row r="18" spans="1:1" x14ac:dyDescent="0.25">
      <c r="A18" s="35" t="s">
        <v>25</v>
      </c>
    </row>
    <row r="19" spans="1:1" x14ac:dyDescent="0.25">
      <c r="A19" s="35" t="s">
        <v>27</v>
      </c>
    </row>
    <row r="20" spans="1:1" x14ac:dyDescent="0.25">
      <c r="A20" s="50" t="s">
        <v>82</v>
      </c>
    </row>
    <row r="21" spans="1:1" x14ac:dyDescent="0.25">
      <c r="A21" s="35" t="s">
        <v>26</v>
      </c>
    </row>
    <row r="22" spans="1:1" x14ac:dyDescent="0.25">
      <c r="A22" s="35" t="s">
        <v>24</v>
      </c>
    </row>
  </sheetData>
  <pageMargins left="0.7" right="0.7" top="0.75" bottom="0.75" header="0.3" footer="0.3"/>
  <pageSetup paperSize="9" orientation="portrait" r:id="rId1"/>
  <headerFooter>
    <oddFooter>&amp;C&amp;1#&amp;"Arial"&amp;8&amp;K869197Internal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3CF6C-4F44-41FD-AA0A-D214D50DBDA9}">
  <sheetPr codeName="Sheet9">
    <pageSetUpPr fitToPage="1"/>
  </sheetPr>
  <dimension ref="A6:K49"/>
  <sheetViews>
    <sheetView topLeftCell="A15" zoomScale="85" zoomScaleNormal="85" workbookViewId="0">
      <selection activeCell="M23" sqref="M23"/>
    </sheetView>
  </sheetViews>
  <sheetFormatPr defaultColWidth="11.42578125" defaultRowHeight="14.25" x14ac:dyDescent="0.2"/>
  <cols>
    <col min="1" max="1" width="12.85546875" style="98" customWidth="1"/>
    <col min="2" max="7" width="11.42578125" style="98"/>
    <col min="8" max="8" width="53.42578125" style="98" customWidth="1"/>
    <col min="9" max="16384" width="11.42578125" style="98"/>
  </cols>
  <sheetData>
    <row r="6" spans="1:8" ht="15" x14ac:dyDescent="0.25">
      <c r="A6" s="97" t="s">
        <v>172</v>
      </c>
      <c r="C6" s="228" t="str">
        <f>'pers. Daten'!O6</f>
        <v>Burke, André</v>
      </c>
      <c r="D6" s="228"/>
      <c r="E6" s="228"/>
      <c r="F6" s="228"/>
      <c r="G6" s="228"/>
    </row>
    <row r="7" spans="1:8" x14ac:dyDescent="0.2">
      <c r="C7" s="100"/>
    </row>
    <row r="8" spans="1:8" ht="15" x14ac:dyDescent="0.25">
      <c r="A8" s="97" t="s">
        <v>173</v>
      </c>
      <c r="C8" s="100" t="s">
        <v>174</v>
      </c>
      <c r="D8" s="98" t="s">
        <v>175</v>
      </c>
      <c r="E8" s="98" t="s">
        <v>176</v>
      </c>
      <c r="F8" s="98" t="s">
        <v>177</v>
      </c>
    </row>
    <row r="9" spans="1:8" ht="23.25" customHeight="1" x14ac:dyDescent="0.2">
      <c r="C9" s="100" t="s">
        <v>178</v>
      </c>
      <c r="E9" s="98" t="s">
        <v>179</v>
      </c>
    </row>
    <row r="10" spans="1:8" x14ac:dyDescent="0.2">
      <c r="C10" s="100"/>
    </row>
    <row r="11" spans="1:8" ht="15" x14ac:dyDescent="0.25">
      <c r="A11" s="97" t="s">
        <v>31</v>
      </c>
      <c r="C11" s="228" t="str">
        <f>'pers. Daten'!O1</f>
        <v>??</v>
      </c>
      <c r="D11" s="228"/>
      <c r="E11" s="228"/>
      <c r="F11" s="228"/>
      <c r="G11" s="228"/>
    </row>
    <row r="12" spans="1:8" x14ac:dyDescent="0.2">
      <c r="C12" s="100"/>
      <c r="H12" s="107"/>
    </row>
    <row r="13" spans="1:8" ht="15" x14ac:dyDescent="0.25">
      <c r="A13" s="97" t="s">
        <v>180</v>
      </c>
      <c r="C13" s="99">
        <f>MONTH(A17)</f>
        <v>1</v>
      </c>
      <c r="D13" s="108" t="str">
        <f>TEXT(DATE(1,C13,1),"MMMM")</f>
        <v>Januar</v>
      </c>
      <c r="E13" s="108"/>
      <c r="F13" s="108"/>
      <c r="G13" s="108"/>
    </row>
    <row r="16" spans="1:8" s="101" customFormat="1" ht="33" customHeight="1" x14ac:dyDescent="0.25">
      <c r="B16" s="102" t="s">
        <v>181</v>
      </c>
      <c r="C16" s="102" t="s">
        <v>182</v>
      </c>
      <c r="D16" s="102" t="s">
        <v>185</v>
      </c>
      <c r="E16" s="102" t="s">
        <v>186</v>
      </c>
      <c r="F16" s="102" t="s">
        <v>183</v>
      </c>
      <c r="G16" s="102"/>
      <c r="H16" s="102" t="s">
        <v>184</v>
      </c>
    </row>
    <row r="17" spans="1:10" s="105" customFormat="1" ht="20.100000000000001" customHeight="1" x14ac:dyDescent="0.25">
      <c r="A17" s="106">
        <v>46023</v>
      </c>
      <c r="B17" s="103" t="e">
        <f>VLOOKUP($A17,Stunden!$D:$V,2,FALSE)</f>
        <v>#N/A</v>
      </c>
      <c r="C17" s="103" t="e">
        <f>VLOOKUP($A17,Stunden!$D:$V,3,FALSE)</f>
        <v>#N/A</v>
      </c>
      <c r="D17" s="103" t="e">
        <f>VLOOKUP($A17,Stunden!$D:$V,4,FALSE)</f>
        <v>#N/A</v>
      </c>
      <c r="E17" s="103">
        <v>0.5</v>
      </c>
      <c r="F17" s="103" t="e">
        <f>E17+D17</f>
        <v>#N/A</v>
      </c>
      <c r="G17" s="103"/>
      <c r="H17" s="103" t="e">
        <f>IF(VLOOKUP($A17,Stunden!$D:$V,17,FALSE)=0,"",VLOOKUP($A17,Stunden!$D:$V,17,FALSE))</f>
        <v>#N/A</v>
      </c>
      <c r="I17" s="104"/>
      <c r="J17" s="104"/>
    </row>
    <row r="18" spans="1:10" s="105" customFormat="1" ht="20.100000000000001" customHeight="1" x14ac:dyDescent="0.25">
      <c r="A18" s="106">
        <f>A17+1</f>
        <v>46024</v>
      </c>
      <c r="B18" s="103" t="e">
        <f>VLOOKUP($A18,Stunden!$D:$V,2,FALSE)</f>
        <v>#N/A</v>
      </c>
      <c r="C18" s="103" t="e">
        <f>VLOOKUP($A18,Stunden!$D:$V,3,FALSE)</f>
        <v>#N/A</v>
      </c>
      <c r="D18" s="103" t="e">
        <f>VLOOKUP($A18,Stunden!$D:$V,4,FALSE)</f>
        <v>#N/A</v>
      </c>
      <c r="E18" s="103">
        <v>0.5</v>
      </c>
      <c r="F18" s="103" t="e">
        <f t="shared" ref="F18:F47" si="0">E18+D18</f>
        <v>#N/A</v>
      </c>
      <c r="G18" s="103"/>
      <c r="H18" s="103" t="e">
        <f>IF(VLOOKUP($A18,Stunden!$D:$V,17,FALSE)=0,"",VLOOKUP($A18,Stunden!$D:$V,17,FALSE))</f>
        <v>#N/A</v>
      </c>
      <c r="I18" s="104"/>
      <c r="J18" s="104"/>
    </row>
    <row r="19" spans="1:10" s="105" customFormat="1" ht="20.100000000000001" customHeight="1" x14ac:dyDescent="0.25">
      <c r="A19" s="106">
        <f t="shared" ref="A19:A47" si="1">A18+1</f>
        <v>46025</v>
      </c>
      <c r="B19" s="103" t="e">
        <f>VLOOKUP($A19,Stunden!$D:$V,2,FALSE)</f>
        <v>#N/A</v>
      </c>
      <c r="C19" s="103" t="e">
        <f>VLOOKUP($A19,Stunden!$D:$V,3,FALSE)</f>
        <v>#N/A</v>
      </c>
      <c r="D19" s="103" t="e">
        <f>VLOOKUP($A19,Stunden!$D:$V,4,FALSE)</f>
        <v>#N/A</v>
      </c>
      <c r="E19" s="103">
        <v>0.5</v>
      </c>
      <c r="F19" s="103" t="e">
        <f t="shared" si="0"/>
        <v>#N/A</v>
      </c>
      <c r="G19" s="103"/>
      <c r="H19" s="103" t="e">
        <f>IF(VLOOKUP($A19,Stunden!$D:$V,17,FALSE)=0,"",VLOOKUP($A19,Stunden!$D:$V,17,FALSE))</f>
        <v>#N/A</v>
      </c>
      <c r="I19" s="104"/>
      <c r="J19" s="104"/>
    </row>
    <row r="20" spans="1:10" s="105" customFormat="1" ht="20.100000000000001" customHeight="1" x14ac:dyDescent="0.25">
      <c r="A20" s="106">
        <f t="shared" si="1"/>
        <v>46026</v>
      </c>
      <c r="B20" s="103" t="e">
        <f>VLOOKUP($A20,Stunden!$D:$V,2,FALSE)</f>
        <v>#N/A</v>
      </c>
      <c r="C20" s="103" t="e">
        <f>VLOOKUP($A20,Stunden!$D:$V,3,FALSE)</f>
        <v>#N/A</v>
      </c>
      <c r="D20" s="103" t="e">
        <f>VLOOKUP($A20,Stunden!$D:$V,4,FALSE)</f>
        <v>#N/A</v>
      </c>
      <c r="E20" s="103">
        <v>0.5</v>
      </c>
      <c r="F20" s="103" t="e">
        <f t="shared" si="0"/>
        <v>#N/A</v>
      </c>
      <c r="G20" s="103"/>
      <c r="H20" s="103" t="e">
        <f>IF(VLOOKUP($A20,Stunden!$D:$V,17,FALSE)=0,"",VLOOKUP($A20,Stunden!$D:$V,17,FALSE))</f>
        <v>#N/A</v>
      </c>
      <c r="I20" s="104"/>
      <c r="J20" s="104"/>
    </row>
    <row r="21" spans="1:10" s="105" customFormat="1" ht="20.100000000000001" customHeight="1" x14ac:dyDescent="0.25">
      <c r="A21" s="106">
        <f t="shared" si="1"/>
        <v>46027</v>
      </c>
      <c r="B21" s="103" t="e">
        <f>VLOOKUP($A21,Stunden!$D:$V,2,FALSE)</f>
        <v>#N/A</v>
      </c>
      <c r="C21" s="103" t="e">
        <f>VLOOKUP($A21,Stunden!$D:$V,3,FALSE)</f>
        <v>#N/A</v>
      </c>
      <c r="D21" s="103" t="e">
        <f>VLOOKUP($A21,Stunden!$D:$V,4,FALSE)</f>
        <v>#N/A</v>
      </c>
      <c r="E21" s="103">
        <v>0.5</v>
      </c>
      <c r="F21" s="103" t="e">
        <f t="shared" si="0"/>
        <v>#N/A</v>
      </c>
      <c r="G21" s="103"/>
      <c r="H21" s="103" t="e">
        <f>IF(VLOOKUP($A21,Stunden!$D:$V,17,FALSE)=0,"",VLOOKUP($A21,Stunden!$D:$V,17,FALSE))</f>
        <v>#N/A</v>
      </c>
      <c r="I21" s="104"/>
      <c r="J21" s="104"/>
    </row>
    <row r="22" spans="1:10" s="105" customFormat="1" ht="20.100000000000001" customHeight="1" x14ac:dyDescent="0.25">
      <c r="A22" s="106">
        <f t="shared" si="1"/>
        <v>46028</v>
      </c>
      <c r="B22" s="103" t="e">
        <f>VLOOKUP($A22,Stunden!$D:$V,2,FALSE)</f>
        <v>#N/A</v>
      </c>
      <c r="C22" s="103" t="e">
        <f>VLOOKUP($A22,Stunden!$D:$V,3,FALSE)</f>
        <v>#N/A</v>
      </c>
      <c r="D22" s="103" t="e">
        <f>VLOOKUP($A22,Stunden!$D:$V,4,FALSE)</f>
        <v>#N/A</v>
      </c>
      <c r="E22" s="103">
        <v>0.5</v>
      </c>
      <c r="F22" s="103" t="e">
        <f t="shared" si="0"/>
        <v>#N/A</v>
      </c>
      <c r="G22" s="103"/>
      <c r="H22" s="103" t="e">
        <f>IF(VLOOKUP($A22,Stunden!$D:$V,17,FALSE)=0,"",VLOOKUP($A22,Stunden!$D:$V,17,FALSE))</f>
        <v>#N/A</v>
      </c>
      <c r="J22" s="104"/>
    </row>
    <row r="23" spans="1:10" s="105" customFormat="1" ht="20.100000000000001" customHeight="1" x14ac:dyDescent="0.25">
      <c r="A23" s="106">
        <f t="shared" si="1"/>
        <v>46029</v>
      </c>
      <c r="B23" s="103" t="e">
        <f>VLOOKUP($A23,Stunden!$D:$V,2,FALSE)</f>
        <v>#N/A</v>
      </c>
      <c r="C23" s="103" t="e">
        <f>VLOOKUP($A23,Stunden!$D:$V,3,FALSE)</f>
        <v>#N/A</v>
      </c>
      <c r="D23" s="103" t="e">
        <f>VLOOKUP($A23,Stunden!$D:$V,4,FALSE)</f>
        <v>#N/A</v>
      </c>
      <c r="E23" s="103">
        <v>0.5</v>
      </c>
      <c r="F23" s="103" t="e">
        <f t="shared" si="0"/>
        <v>#N/A</v>
      </c>
      <c r="G23" s="103"/>
      <c r="H23" s="103" t="e">
        <f>IF(VLOOKUP($A23,Stunden!$D:$V,17,FALSE)=0,"",VLOOKUP($A23,Stunden!$D:$V,17,FALSE))</f>
        <v>#N/A</v>
      </c>
      <c r="J23" s="104"/>
    </row>
    <row r="24" spans="1:10" s="105" customFormat="1" ht="20.100000000000001" customHeight="1" x14ac:dyDescent="0.25">
      <c r="A24" s="106">
        <f t="shared" si="1"/>
        <v>46030</v>
      </c>
      <c r="B24" s="103" t="e">
        <f>VLOOKUP($A24,Stunden!$D:$V,2,FALSE)</f>
        <v>#N/A</v>
      </c>
      <c r="C24" s="103" t="e">
        <f>VLOOKUP($A24,Stunden!$D:$V,3,FALSE)</f>
        <v>#N/A</v>
      </c>
      <c r="D24" s="103" t="e">
        <f>VLOOKUP($A24,Stunden!$D:$V,4,FALSE)</f>
        <v>#N/A</v>
      </c>
      <c r="E24" s="103">
        <v>0.5</v>
      </c>
      <c r="F24" s="103" t="e">
        <f t="shared" si="0"/>
        <v>#N/A</v>
      </c>
      <c r="G24" s="103"/>
      <c r="H24" s="103" t="e">
        <f>IF(VLOOKUP($A24,Stunden!$D:$V,17,FALSE)=0,"",VLOOKUP($A24,Stunden!$D:$V,17,FALSE))</f>
        <v>#N/A</v>
      </c>
      <c r="J24" s="104"/>
    </row>
    <row r="25" spans="1:10" s="105" customFormat="1" ht="20.100000000000001" customHeight="1" x14ac:dyDescent="0.25">
      <c r="A25" s="106">
        <f t="shared" si="1"/>
        <v>46031</v>
      </c>
      <c r="B25" s="103" t="e">
        <f>VLOOKUP($A25,Stunden!$D:$V,2,FALSE)</f>
        <v>#N/A</v>
      </c>
      <c r="C25" s="103" t="e">
        <f>VLOOKUP($A25,Stunden!$D:$V,3,FALSE)</f>
        <v>#N/A</v>
      </c>
      <c r="D25" s="103" t="e">
        <f>VLOOKUP($A25,Stunden!$D:$V,4,FALSE)</f>
        <v>#N/A</v>
      </c>
      <c r="E25" s="103">
        <v>0.5</v>
      </c>
      <c r="F25" s="103" t="e">
        <f t="shared" si="0"/>
        <v>#N/A</v>
      </c>
      <c r="G25" s="103"/>
      <c r="H25" s="103" t="e">
        <f>IF(VLOOKUP($A25,Stunden!$D:$V,17,FALSE)=0,"",VLOOKUP($A25,Stunden!$D:$V,17,FALSE))</f>
        <v>#N/A</v>
      </c>
      <c r="J25" s="104"/>
    </row>
    <row r="26" spans="1:10" s="105" customFormat="1" ht="20.100000000000001" customHeight="1" x14ac:dyDescent="0.25">
      <c r="A26" s="106">
        <f t="shared" si="1"/>
        <v>46032</v>
      </c>
      <c r="B26" s="103" t="e">
        <f>VLOOKUP($A26,Stunden!$D:$V,2,FALSE)</f>
        <v>#N/A</v>
      </c>
      <c r="C26" s="103" t="e">
        <f>VLOOKUP($A26,Stunden!$D:$V,3,FALSE)</f>
        <v>#N/A</v>
      </c>
      <c r="D26" s="103" t="e">
        <f>VLOOKUP($A26,Stunden!$D:$V,4,FALSE)</f>
        <v>#N/A</v>
      </c>
      <c r="E26" s="103">
        <v>0.5</v>
      </c>
      <c r="F26" s="103" t="e">
        <f t="shared" si="0"/>
        <v>#N/A</v>
      </c>
      <c r="G26" s="103"/>
      <c r="H26" s="103" t="e">
        <f>IF(VLOOKUP($A26,Stunden!$D:$V,17,FALSE)=0,"",VLOOKUP($A26,Stunden!$D:$V,17,FALSE))</f>
        <v>#N/A</v>
      </c>
      <c r="J26" s="104"/>
    </row>
    <row r="27" spans="1:10" s="105" customFormat="1" ht="20.100000000000001" customHeight="1" x14ac:dyDescent="0.25">
      <c r="A27" s="106">
        <f t="shared" si="1"/>
        <v>46033</v>
      </c>
      <c r="B27" s="103" t="e">
        <f>VLOOKUP($A27,Stunden!$D:$V,2,FALSE)</f>
        <v>#N/A</v>
      </c>
      <c r="C27" s="103" t="e">
        <f>VLOOKUP($A27,Stunden!$D:$V,3,FALSE)</f>
        <v>#N/A</v>
      </c>
      <c r="D27" s="103" t="e">
        <f>VLOOKUP($A27,Stunden!$D:$V,4,FALSE)</f>
        <v>#N/A</v>
      </c>
      <c r="E27" s="103">
        <v>0.5</v>
      </c>
      <c r="F27" s="103" t="e">
        <f t="shared" si="0"/>
        <v>#N/A</v>
      </c>
      <c r="G27" s="103"/>
      <c r="H27" s="103" t="e">
        <f>IF(VLOOKUP($A27,Stunden!$D:$V,17,FALSE)=0,"",VLOOKUP($A27,Stunden!$D:$V,17,FALSE))</f>
        <v>#N/A</v>
      </c>
      <c r="J27" s="104"/>
    </row>
    <row r="28" spans="1:10" s="105" customFormat="1" ht="20.100000000000001" customHeight="1" x14ac:dyDescent="0.25">
      <c r="A28" s="106">
        <f t="shared" si="1"/>
        <v>46034</v>
      </c>
      <c r="B28" s="103" t="e">
        <f>VLOOKUP($A28,Stunden!$D:$V,2,FALSE)</f>
        <v>#N/A</v>
      </c>
      <c r="C28" s="103" t="e">
        <f>VLOOKUP($A28,Stunden!$D:$V,3,FALSE)</f>
        <v>#N/A</v>
      </c>
      <c r="D28" s="103" t="e">
        <f>VLOOKUP($A28,Stunden!$D:$V,4,FALSE)</f>
        <v>#N/A</v>
      </c>
      <c r="E28" s="103">
        <v>0.5</v>
      </c>
      <c r="F28" s="103" t="e">
        <f t="shared" si="0"/>
        <v>#N/A</v>
      </c>
      <c r="G28" s="103"/>
      <c r="H28" s="103" t="e">
        <f>IF(VLOOKUP($A28,Stunden!$D:$V,17,FALSE)=0,"",VLOOKUP($A28,Stunden!$D:$V,17,FALSE))</f>
        <v>#N/A</v>
      </c>
      <c r="J28" s="104"/>
    </row>
    <row r="29" spans="1:10" s="105" customFormat="1" ht="20.100000000000001" customHeight="1" x14ac:dyDescent="0.25">
      <c r="A29" s="106">
        <f t="shared" si="1"/>
        <v>46035</v>
      </c>
      <c r="B29" s="103" t="e">
        <f>VLOOKUP($A29,Stunden!$D:$V,2,FALSE)</f>
        <v>#N/A</v>
      </c>
      <c r="C29" s="103" t="e">
        <f>VLOOKUP($A29,Stunden!$D:$V,3,FALSE)</f>
        <v>#N/A</v>
      </c>
      <c r="D29" s="103" t="e">
        <f>VLOOKUP($A29,Stunden!$D:$V,4,FALSE)</f>
        <v>#N/A</v>
      </c>
      <c r="E29" s="103">
        <v>0.5</v>
      </c>
      <c r="F29" s="103" t="e">
        <f t="shared" si="0"/>
        <v>#N/A</v>
      </c>
      <c r="G29" s="103"/>
      <c r="H29" s="103" t="e">
        <f>IF(VLOOKUP($A29,Stunden!$D:$V,17,FALSE)=0,"",VLOOKUP($A29,Stunden!$D:$V,17,FALSE))</f>
        <v>#N/A</v>
      </c>
      <c r="J29" s="104"/>
    </row>
    <row r="30" spans="1:10" s="105" customFormat="1" ht="20.100000000000001" customHeight="1" x14ac:dyDescent="0.25">
      <c r="A30" s="106">
        <f t="shared" si="1"/>
        <v>46036</v>
      </c>
      <c r="B30" s="103" t="e">
        <f>VLOOKUP($A30,Stunden!$D:$V,2,FALSE)</f>
        <v>#N/A</v>
      </c>
      <c r="C30" s="103" t="e">
        <f>VLOOKUP($A30,Stunden!$D:$V,3,FALSE)</f>
        <v>#N/A</v>
      </c>
      <c r="D30" s="103" t="e">
        <f>VLOOKUP($A30,Stunden!$D:$V,4,FALSE)</f>
        <v>#N/A</v>
      </c>
      <c r="E30" s="103">
        <v>0.5</v>
      </c>
      <c r="F30" s="103" t="e">
        <f t="shared" si="0"/>
        <v>#N/A</v>
      </c>
      <c r="G30" s="103"/>
      <c r="H30" s="103" t="e">
        <f>IF(VLOOKUP($A30,Stunden!$D:$V,17,FALSE)=0,"",VLOOKUP($A30,Stunden!$D:$V,17,FALSE))</f>
        <v>#N/A</v>
      </c>
      <c r="J30" s="104"/>
    </row>
    <row r="31" spans="1:10" s="105" customFormat="1" ht="20.100000000000001" customHeight="1" x14ac:dyDescent="0.25">
      <c r="A31" s="106">
        <f t="shared" si="1"/>
        <v>46037</v>
      </c>
      <c r="B31" s="103" t="e">
        <f>VLOOKUP($A31,Stunden!$D:$V,2,FALSE)</f>
        <v>#N/A</v>
      </c>
      <c r="C31" s="103" t="e">
        <f>VLOOKUP($A31,Stunden!$D:$V,3,FALSE)</f>
        <v>#N/A</v>
      </c>
      <c r="D31" s="103" t="e">
        <f>VLOOKUP($A31,Stunden!$D:$V,4,FALSE)</f>
        <v>#N/A</v>
      </c>
      <c r="E31" s="103">
        <v>0.5</v>
      </c>
      <c r="F31" s="103" t="e">
        <f t="shared" si="0"/>
        <v>#N/A</v>
      </c>
      <c r="G31" s="103"/>
      <c r="H31" s="103" t="e">
        <f>IF(VLOOKUP($A31,Stunden!$D:$V,17,FALSE)=0,"",VLOOKUP($A31,Stunden!$D:$V,17,FALSE))</f>
        <v>#N/A</v>
      </c>
      <c r="J31" s="104"/>
    </row>
    <row r="32" spans="1:10" s="105" customFormat="1" ht="20.100000000000001" customHeight="1" x14ac:dyDescent="0.25">
      <c r="A32" s="106">
        <f t="shared" si="1"/>
        <v>46038</v>
      </c>
      <c r="B32" s="103" t="e">
        <f>VLOOKUP($A32,Stunden!$D:$V,2,FALSE)</f>
        <v>#N/A</v>
      </c>
      <c r="C32" s="103" t="e">
        <f>VLOOKUP($A32,Stunden!$D:$V,3,FALSE)</f>
        <v>#N/A</v>
      </c>
      <c r="D32" s="103" t="e">
        <f>VLOOKUP($A32,Stunden!$D:$V,4,FALSE)</f>
        <v>#N/A</v>
      </c>
      <c r="E32" s="103">
        <v>0.5</v>
      </c>
      <c r="F32" s="103" t="e">
        <f t="shared" si="0"/>
        <v>#N/A</v>
      </c>
      <c r="G32" s="103"/>
      <c r="H32" s="103" t="e">
        <f>IF(VLOOKUP($A32,Stunden!$D:$V,17,FALSE)=0,"",VLOOKUP($A32,Stunden!$D:$V,17,FALSE))</f>
        <v>#N/A</v>
      </c>
      <c r="J32" s="104"/>
    </row>
    <row r="33" spans="1:10" s="105" customFormat="1" ht="20.100000000000001" customHeight="1" x14ac:dyDescent="0.25">
      <c r="A33" s="106">
        <f t="shared" si="1"/>
        <v>46039</v>
      </c>
      <c r="B33" s="103" t="e">
        <f>VLOOKUP($A33,Stunden!$D:$V,2,FALSE)</f>
        <v>#N/A</v>
      </c>
      <c r="C33" s="103" t="e">
        <f>VLOOKUP($A33,Stunden!$D:$V,3,FALSE)</f>
        <v>#N/A</v>
      </c>
      <c r="D33" s="103" t="e">
        <f>VLOOKUP($A33,Stunden!$D:$V,4,FALSE)</f>
        <v>#N/A</v>
      </c>
      <c r="E33" s="103">
        <v>0.5</v>
      </c>
      <c r="F33" s="103" t="e">
        <f t="shared" si="0"/>
        <v>#N/A</v>
      </c>
      <c r="G33" s="103"/>
      <c r="H33" s="103" t="e">
        <f>IF(VLOOKUP($A33,Stunden!$D:$V,17,FALSE)=0,"",VLOOKUP($A33,Stunden!$D:$V,17,FALSE))</f>
        <v>#N/A</v>
      </c>
      <c r="J33" s="104"/>
    </row>
    <row r="34" spans="1:10" s="105" customFormat="1" ht="20.100000000000001" customHeight="1" x14ac:dyDescent="0.25">
      <c r="A34" s="106">
        <f t="shared" si="1"/>
        <v>46040</v>
      </c>
      <c r="B34" s="103" t="e">
        <f>VLOOKUP($A34,Stunden!$D:$V,2,FALSE)</f>
        <v>#N/A</v>
      </c>
      <c r="C34" s="103" t="e">
        <f>VLOOKUP($A34,Stunden!$D:$V,3,FALSE)</f>
        <v>#N/A</v>
      </c>
      <c r="D34" s="103" t="e">
        <f>VLOOKUP($A34,Stunden!$D:$V,4,FALSE)</f>
        <v>#N/A</v>
      </c>
      <c r="E34" s="103">
        <v>0.5</v>
      </c>
      <c r="F34" s="103" t="e">
        <f t="shared" si="0"/>
        <v>#N/A</v>
      </c>
      <c r="G34" s="103"/>
      <c r="H34" s="103" t="e">
        <f>IF(VLOOKUP($A34,Stunden!$D:$V,17,FALSE)=0,"",VLOOKUP($A34,Stunden!$D:$V,17,FALSE))</f>
        <v>#N/A</v>
      </c>
      <c r="J34" s="104"/>
    </row>
    <row r="35" spans="1:10" s="105" customFormat="1" ht="20.100000000000001" customHeight="1" x14ac:dyDescent="0.25">
      <c r="A35" s="106">
        <f t="shared" si="1"/>
        <v>46041</v>
      </c>
      <c r="B35" s="103" t="e">
        <f>VLOOKUP($A35,Stunden!$D:$V,2,FALSE)</f>
        <v>#N/A</v>
      </c>
      <c r="C35" s="103" t="e">
        <f>VLOOKUP($A35,Stunden!$D:$V,3,FALSE)</f>
        <v>#N/A</v>
      </c>
      <c r="D35" s="103" t="e">
        <f>VLOOKUP($A35,Stunden!$D:$V,4,FALSE)</f>
        <v>#N/A</v>
      </c>
      <c r="E35" s="103">
        <v>0.5</v>
      </c>
      <c r="F35" s="103" t="e">
        <f t="shared" si="0"/>
        <v>#N/A</v>
      </c>
      <c r="G35" s="103"/>
      <c r="H35" s="103" t="e">
        <f>IF(VLOOKUP($A35,Stunden!$D:$V,17,FALSE)=0,"",VLOOKUP($A35,Stunden!$D:$V,17,FALSE))</f>
        <v>#N/A</v>
      </c>
      <c r="J35" s="104"/>
    </row>
    <row r="36" spans="1:10" s="105" customFormat="1" ht="20.100000000000001" customHeight="1" x14ac:dyDescent="0.25">
      <c r="A36" s="106">
        <f t="shared" si="1"/>
        <v>46042</v>
      </c>
      <c r="B36" s="103" t="e">
        <f>VLOOKUP($A36,Stunden!$D:$V,2,FALSE)</f>
        <v>#N/A</v>
      </c>
      <c r="C36" s="103" t="e">
        <f>VLOOKUP($A36,Stunden!$D:$V,3,FALSE)</f>
        <v>#N/A</v>
      </c>
      <c r="D36" s="103" t="e">
        <f>VLOOKUP($A36,Stunden!$D:$V,4,FALSE)</f>
        <v>#N/A</v>
      </c>
      <c r="E36" s="103">
        <v>0.5</v>
      </c>
      <c r="F36" s="103" t="e">
        <f t="shared" si="0"/>
        <v>#N/A</v>
      </c>
      <c r="G36" s="103"/>
      <c r="H36" s="103" t="e">
        <f>IF(VLOOKUP($A36,Stunden!$D:$V,17,FALSE)=0,"",VLOOKUP($A36,Stunden!$D:$V,17,FALSE))</f>
        <v>#N/A</v>
      </c>
      <c r="J36" s="104"/>
    </row>
    <row r="37" spans="1:10" s="105" customFormat="1" ht="20.100000000000001" customHeight="1" x14ac:dyDescent="0.25">
      <c r="A37" s="106">
        <f t="shared" si="1"/>
        <v>46043</v>
      </c>
      <c r="B37" s="103" t="e">
        <f>VLOOKUP($A37,Stunden!$D:$V,2,FALSE)</f>
        <v>#N/A</v>
      </c>
      <c r="C37" s="103" t="e">
        <f>VLOOKUP($A37,Stunden!$D:$V,3,FALSE)</f>
        <v>#N/A</v>
      </c>
      <c r="D37" s="103" t="e">
        <f>VLOOKUP($A37,Stunden!$D:$V,4,FALSE)</f>
        <v>#N/A</v>
      </c>
      <c r="E37" s="103">
        <v>0.5</v>
      </c>
      <c r="F37" s="103" t="e">
        <f t="shared" si="0"/>
        <v>#N/A</v>
      </c>
      <c r="G37" s="103"/>
      <c r="H37" s="103" t="e">
        <f>IF(VLOOKUP($A37,Stunden!$D:$V,17,FALSE)=0,"",VLOOKUP($A37,Stunden!$D:$V,17,FALSE))</f>
        <v>#N/A</v>
      </c>
      <c r="J37" s="104"/>
    </row>
    <row r="38" spans="1:10" s="105" customFormat="1" ht="20.100000000000001" customHeight="1" x14ac:dyDescent="0.25">
      <c r="A38" s="106">
        <f t="shared" si="1"/>
        <v>46044</v>
      </c>
      <c r="B38" s="103" t="e">
        <f>VLOOKUP($A38,Stunden!$D:$V,2,FALSE)</f>
        <v>#N/A</v>
      </c>
      <c r="C38" s="103" t="e">
        <f>VLOOKUP($A38,Stunden!$D:$V,3,FALSE)</f>
        <v>#N/A</v>
      </c>
      <c r="D38" s="103" t="e">
        <f>VLOOKUP($A38,Stunden!$D:$V,4,FALSE)</f>
        <v>#N/A</v>
      </c>
      <c r="E38" s="103">
        <v>0.5</v>
      </c>
      <c r="F38" s="103" t="e">
        <f t="shared" si="0"/>
        <v>#N/A</v>
      </c>
      <c r="G38" s="103"/>
      <c r="H38" s="103" t="e">
        <f>IF(VLOOKUP($A38,Stunden!$D:$V,17,FALSE)=0,"",VLOOKUP($A38,Stunden!$D:$V,17,FALSE))</f>
        <v>#N/A</v>
      </c>
      <c r="J38" s="104"/>
    </row>
    <row r="39" spans="1:10" s="105" customFormat="1" ht="20.100000000000001" customHeight="1" x14ac:dyDescent="0.25">
      <c r="A39" s="106">
        <f t="shared" si="1"/>
        <v>46045</v>
      </c>
      <c r="B39" s="103" t="e">
        <f>VLOOKUP($A39,Stunden!$D:$V,2,FALSE)</f>
        <v>#N/A</v>
      </c>
      <c r="C39" s="103" t="e">
        <f>VLOOKUP($A39,Stunden!$D:$V,3,FALSE)</f>
        <v>#N/A</v>
      </c>
      <c r="D39" s="103" t="e">
        <f>VLOOKUP($A39,Stunden!$D:$V,4,FALSE)</f>
        <v>#N/A</v>
      </c>
      <c r="E39" s="103">
        <v>0.5</v>
      </c>
      <c r="F39" s="103" t="e">
        <f t="shared" si="0"/>
        <v>#N/A</v>
      </c>
      <c r="G39" s="103"/>
      <c r="H39" s="103" t="e">
        <f>IF(VLOOKUP($A39,Stunden!$D:$V,17,FALSE)=0,"",VLOOKUP($A39,Stunden!$D:$V,17,FALSE))</f>
        <v>#N/A</v>
      </c>
      <c r="J39" s="104"/>
    </row>
    <row r="40" spans="1:10" s="105" customFormat="1" ht="20.100000000000001" customHeight="1" x14ac:dyDescent="0.25">
      <c r="A40" s="106">
        <f t="shared" si="1"/>
        <v>46046</v>
      </c>
      <c r="B40" s="103" t="e">
        <f>VLOOKUP($A40,Stunden!$D:$V,2,FALSE)</f>
        <v>#N/A</v>
      </c>
      <c r="C40" s="103" t="e">
        <f>VLOOKUP($A40,Stunden!$D:$V,3,FALSE)</f>
        <v>#N/A</v>
      </c>
      <c r="D40" s="103" t="e">
        <f>VLOOKUP($A40,Stunden!$D:$V,4,FALSE)</f>
        <v>#N/A</v>
      </c>
      <c r="E40" s="103">
        <v>0.5</v>
      </c>
      <c r="F40" s="103" t="e">
        <f t="shared" si="0"/>
        <v>#N/A</v>
      </c>
      <c r="G40" s="103"/>
      <c r="H40" s="103" t="e">
        <f>IF(VLOOKUP($A40,Stunden!$D:$V,17,FALSE)=0,"",VLOOKUP($A40,Stunden!$D:$V,17,FALSE))</f>
        <v>#N/A</v>
      </c>
      <c r="J40" s="104"/>
    </row>
    <row r="41" spans="1:10" s="105" customFormat="1" ht="20.100000000000001" customHeight="1" x14ac:dyDescent="0.25">
      <c r="A41" s="106">
        <f t="shared" si="1"/>
        <v>46047</v>
      </c>
      <c r="B41" s="103" t="e">
        <f>VLOOKUP($A41,Stunden!$D:$V,2,FALSE)</f>
        <v>#N/A</v>
      </c>
      <c r="C41" s="103" t="e">
        <f>VLOOKUP($A41,Stunden!$D:$V,3,FALSE)</f>
        <v>#N/A</v>
      </c>
      <c r="D41" s="103" t="e">
        <f>VLOOKUP($A41,Stunden!$D:$V,4,FALSE)</f>
        <v>#N/A</v>
      </c>
      <c r="E41" s="103">
        <v>0.5</v>
      </c>
      <c r="F41" s="103" t="e">
        <f t="shared" si="0"/>
        <v>#N/A</v>
      </c>
      <c r="G41" s="103"/>
      <c r="H41" s="103" t="e">
        <f>IF(VLOOKUP($A41,Stunden!$D:$V,17,FALSE)=0,"",VLOOKUP($A41,Stunden!$D:$V,17,FALSE))</f>
        <v>#N/A</v>
      </c>
      <c r="J41" s="104"/>
    </row>
    <row r="42" spans="1:10" s="105" customFormat="1" ht="20.100000000000001" customHeight="1" x14ac:dyDescent="0.25">
      <c r="A42" s="106">
        <f t="shared" si="1"/>
        <v>46048</v>
      </c>
      <c r="B42" s="103" t="e">
        <f>VLOOKUP($A42,Stunden!$D:$V,2,FALSE)</f>
        <v>#N/A</v>
      </c>
      <c r="C42" s="103" t="e">
        <f>VLOOKUP($A42,Stunden!$D:$V,3,FALSE)</f>
        <v>#N/A</v>
      </c>
      <c r="D42" s="103" t="e">
        <f>VLOOKUP($A42,Stunden!$D:$V,4,FALSE)</f>
        <v>#N/A</v>
      </c>
      <c r="E42" s="103">
        <v>0.5</v>
      </c>
      <c r="F42" s="103" t="e">
        <f t="shared" si="0"/>
        <v>#N/A</v>
      </c>
      <c r="G42" s="103"/>
      <c r="H42" s="103" t="e">
        <f>IF(VLOOKUP($A42,Stunden!$D:$V,17,FALSE)=0,"",VLOOKUP($A42,Stunden!$D:$V,17,FALSE))</f>
        <v>#N/A</v>
      </c>
      <c r="J42" s="104"/>
    </row>
    <row r="43" spans="1:10" s="105" customFormat="1" ht="20.100000000000001" customHeight="1" x14ac:dyDescent="0.25">
      <c r="A43" s="106">
        <f t="shared" si="1"/>
        <v>46049</v>
      </c>
      <c r="B43" s="103" t="e">
        <f>VLOOKUP($A43,Stunden!$D:$V,2,FALSE)</f>
        <v>#N/A</v>
      </c>
      <c r="C43" s="103" t="e">
        <f>VLOOKUP($A43,Stunden!$D:$V,3,FALSE)</f>
        <v>#N/A</v>
      </c>
      <c r="D43" s="103" t="e">
        <f>VLOOKUP($A43,Stunden!$D:$V,4,FALSE)</f>
        <v>#N/A</v>
      </c>
      <c r="E43" s="103">
        <v>0.5</v>
      </c>
      <c r="F43" s="103" t="e">
        <f t="shared" si="0"/>
        <v>#N/A</v>
      </c>
      <c r="G43" s="103"/>
      <c r="H43" s="103" t="e">
        <f>IF(VLOOKUP($A43,Stunden!$D:$V,17,FALSE)=0,"",VLOOKUP($A43,Stunden!$D:$V,17,FALSE))</f>
        <v>#N/A</v>
      </c>
      <c r="J43" s="104"/>
    </row>
    <row r="44" spans="1:10" s="105" customFormat="1" ht="20.100000000000001" customHeight="1" x14ac:dyDescent="0.25">
      <c r="A44" s="106">
        <f t="shared" si="1"/>
        <v>46050</v>
      </c>
      <c r="B44" s="103" t="e">
        <f>VLOOKUP($A44,Stunden!$D:$V,2,FALSE)</f>
        <v>#N/A</v>
      </c>
      <c r="C44" s="103" t="e">
        <f>VLOOKUP($A44,Stunden!$D:$V,3,FALSE)</f>
        <v>#N/A</v>
      </c>
      <c r="D44" s="103" t="e">
        <f>VLOOKUP($A44,Stunden!$D:$V,4,FALSE)</f>
        <v>#N/A</v>
      </c>
      <c r="E44" s="103">
        <v>0.5</v>
      </c>
      <c r="F44" s="103" t="e">
        <f t="shared" si="0"/>
        <v>#N/A</v>
      </c>
      <c r="G44" s="103"/>
      <c r="H44" s="103" t="e">
        <f>IF(VLOOKUP($A44,Stunden!$D:$V,17,FALSE)=0,"",VLOOKUP($A44,Stunden!$D:$V,17,FALSE))</f>
        <v>#N/A</v>
      </c>
      <c r="J44" s="104"/>
    </row>
    <row r="45" spans="1:10" s="105" customFormat="1" ht="20.100000000000001" customHeight="1" x14ac:dyDescent="0.25">
      <c r="A45" s="106">
        <f t="shared" si="1"/>
        <v>46051</v>
      </c>
      <c r="B45" s="103" t="e">
        <f>VLOOKUP($A45,Stunden!$D:$V,2,FALSE)</f>
        <v>#N/A</v>
      </c>
      <c r="C45" s="103" t="e">
        <f>VLOOKUP($A45,Stunden!$D:$V,3,FALSE)</f>
        <v>#N/A</v>
      </c>
      <c r="D45" s="103" t="e">
        <f>VLOOKUP($A45,Stunden!$D:$V,4,FALSE)</f>
        <v>#N/A</v>
      </c>
      <c r="E45" s="103">
        <v>0.5</v>
      </c>
      <c r="F45" s="103" t="e">
        <f t="shared" si="0"/>
        <v>#N/A</v>
      </c>
      <c r="G45" s="103"/>
      <c r="H45" s="103" t="e">
        <f>IF(VLOOKUP($A45,Stunden!$D:$V,17,FALSE)=0,"",VLOOKUP($A45,Stunden!$D:$V,17,FALSE))</f>
        <v>#N/A</v>
      </c>
      <c r="J45" s="104"/>
    </row>
    <row r="46" spans="1:10" s="105" customFormat="1" ht="20.100000000000001" customHeight="1" x14ac:dyDescent="0.25">
      <c r="A46" s="106">
        <f t="shared" si="1"/>
        <v>46052</v>
      </c>
      <c r="B46" s="103" t="e">
        <f>VLOOKUP($A46,Stunden!$D:$V,2,FALSE)</f>
        <v>#N/A</v>
      </c>
      <c r="C46" s="103" t="e">
        <f>VLOOKUP($A46,Stunden!$D:$V,3,FALSE)</f>
        <v>#N/A</v>
      </c>
      <c r="D46" s="103" t="e">
        <f>VLOOKUP($A46,Stunden!$D:$V,4,FALSE)</f>
        <v>#N/A</v>
      </c>
      <c r="E46" s="103">
        <v>0.5</v>
      </c>
      <c r="F46" s="103" t="e">
        <f t="shared" si="0"/>
        <v>#N/A</v>
      </c>
      <c r="G46" s="103"/>
      <c r="H46" s="103" t="e">
        <f>IF(VLOOKUP($A46,Stunden!$D:$V,17,FALSE)=0,"",VLOOKUP($A46,Stunden!$D:$V,17,FALSE))</f>
        <v>#N/A</v>
      </c>
      <c r="J46" s="104"/>
    </row>
    <row r="47" spans="1:10" s="105" customFormat="1" ht="20.100000000000001" customHeight="1" x14ac:dyDescent="0.25">
      <c r="A47" s="106">
        <f t="shared" si="1"/>
        <v>46053</v>
      </c>
      <c r="B47" s="103" t="e">
        <f>VLOOKUP($A47,Stunden!$D:$V,2,FALSE)</f>
        <v>#N/A</v>
      </c>
      <c r="C47" s="103" t="e">
        <f>VLOOKUP($A47,Stunden!$D:$V,3,FALSE)</f>
        <v>#N/A</v>
      </c>
      <c r="D47" s="103" t="e">
        <f>VLOOKUP($A47,Stunden!$D:$V,4,FALSE)</f>
        <v>#N/A</v>
      </c>
      <c r="E47" s="103">
        <v>0.5</v>
      </c>
      <c r="F47" s="103" t="e">
        <f t="shared" si="0"/>
        <v>#N/A</v>
      </c>
      <c r="G47" s="103"/>
      <c r="H47" s="103" t="e">
        <f>IF(VLOOKUP($A47,Stunden!$D:$V,17,FALSE)=0,"",VLOOKUP($A47,Stunden!$D:$V,17,FALSE))</f>
        <v>#N/A</v>
      </c>
      <c r="J47" s="104"/>
    </row>
    <row r="49" spans="10:11" x14ac:dyDescent="0.2">
      <c r="J49" s="119"/>
      <c r="K49" s="119"/>
    </row>
  </sheetData>
  <mergeCells count="2">
    <mergeCell ref="C6:G6"/>
    <mergeCell ref="C11:G11"/>
  </mergeCells>
  <pageMargins left="0.70866141732283472" right="0.31496062992125984" top="0.39370078740157483" bottom="0.39370078740157483" header="0.31496062992125984" footer="0.31496062992125984"/>
  <pageSetup paperSize="9" orientation="portrait" r:id="rId1"/>
  <headerFooter>
    <oddFooter>&amp;C_x000D_&amp;1#&amp;"Arial"&amp;8&amp;K869197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2</xdr:col>
                    <xdr:colOff>447675</xdr:colOff>
                    <xdr:row>6</xdr:row>
                    <xdr:rowOff>142875</xdr:rowOff>
                  </from>
                  <to>
                    <xdr:col>2</xdr:col>
                    <xdr:colOff>752475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476250</xdr:colOff>
                    <xdr:row>6</xdr:row>
                    <xdr:rowOff>38100</xdr:rowOff>
                  </from>
                  <to>
                    <xdr:col>5</xdr:col>
                    <xdr:colOff>142875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752475</xdr:colOff>
                    <xdr:row>7</xdr:row>
                    <xdr:rowOff>152400</xdr:rowOff>
                  </from>
                  <to>
                    <xdr:col>5</xdr:col>
                    <xdr:colOff>419100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3</xdr:col>
                    <xdr:colOff>47625</xdr:colOff>
                    <xdr:row>7</xdr:row>
                    <xdr:rowOff>152400</xdr:rowOff>
                  </from>
                  <to>
                    <xdr:col>3</xdr:col>
                    <xdr:colOff>485775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3</xdr:col>
                    <xdr:colOff>438150</xdr:colOff>
                    <xdr:row>6</xdr:row>
                    <xdr:rowOff>47625</xdr:rowOff>
                  </from>
                  <to>
                    <xdr:col>4</xdr:col>
                    <xdr:colOff>104775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89264-9B73-4D2D-B4DC-4A598D2D0F9C}">
  <sheetPr codeName="Sheet10">
    <pageSetUpPr fitToPage="1"/>
  </sheetPr>
  <dimension ref="A6:J49"/>
  <sheetViews>
    <sheetView zoomScale="85" zoomScaleNormal="85" workbookViewId="0">
      <selection activeCell="N21" sqref="N21"/>
    </sheetView>
  </sheetViews>
  <sheetFormatPr defaultColWidth="11.42578125" defaultRowHeight="14.25" x14ac:dyDescent="0.2"/>
  <cols>
    <col min="1" max="1" width="12.85546875" style="98" customWidth="1"/>
    <col min="2" max="7" width="11.42578125" style="98"/>
    <col min="8" max="8" width="53.42578125" style="98" customWidth="1"/>
    <col min="9" max="16384" width="11.42578125" style="98"/>
  </cols>
  <sheetData>
    <row r="6" spans="1:8" ht="15" x14ac:dyDescent="0.25">
      <c r="A6" s="97" t="s">
        <v>172</v>
      </c>
      <c r="C6" s="228" t="str">
        <f>'pers. Daten'!O6</f>
        <v>Burke, André</v>
      </c>
      <c r="D6" s="228"/>
      <c r="E6" s="228"/>
      <c r="F6" s="228"/>
      <c r="G6" s="228"/>
    </row>
    <row r="7" spans="1:8" x14ac:dyDescent="0.2">
      <c r="C7" s="100"/>
    </row>
    <row r="8" spans="1:8" ht="15" x14ac:dyDescent="0.25">
      <c r="A8" s="97" t="s">
        <v>173</v>
      </c>
      <c r="C8" s="100" t="s">
        <v>174</v>
      </c>
      <c r="D8" s="98" t="s">
        <v>175</v>
      </c>
      <c r="E8" s="98" t="s">
        <v>176</v>
      </c>
      <c r="F8" s="98" t="s">
        <v>177</v>
      </c>
    </row>
    <row r="9" spans="1:8" ht="23.25" customHeight="1" x14ac:dyDescent="0.2">
      <c r="C9" s="100" t="s">
        <v>178</v>
      </c>
      <c r="E9" s="98" t="s">
        <v>179</v>
      </c>
    </row>
    <row r="10" spans="1:8" x14ac:dyDescent="0.2">
      <c r="C10" s="100"/>
    </row>
    <row r="11" spans="1:8" ht="15" x14ac:dyDescent="0.25">
      <c r="A11" s="97" t="s">
        <v>31</v>
      </c>
      <c r="C11" s="228" t="str">
        <f>'pers. Daten'!O1</f>
        <v>??</v>
      </c>
      <c r="D11" s="228"/>
      <c r="E11" s="228"/>
      <c r="F11" s="228"/>
      <c r="G11" s="228"/>
    </row>
    <row r="12" spans="1:8" x14ac:dyDescent="0.2">
      <c r="C12" s="100"/>
      <c r="H12" s="107"/>
    </row>
    <row r="13" spans="1:8" ht="15" x14ac:dyDescent="0.25">
      <c r="A13" s="97" t="s">
        <v>180</v>
      </c>
      <c r="C13" s="99">
        <f>MONTH(A17)</f>
        <v>2</v>
      </c>
      <c r="D13" s="108" t="str">
        <f>TEXT(DATE(1,C13,1),"MMMM")</f>
        <v>Februar</v>
      </c>
      <c r="E13" s="108"/>
      <c r="F13" s="108"/>
      <c r="G13" s="108"/>
    </row>
    <row r="16" spans="1:8" s="101" customFormat="1" ht="33" customHeight="1" x14ac:dyDescent="0.25">
      <c r="B16" s="102" t="s">
        <v>181</v>
      </c>
      <c r="C16" s="102" t="s">
        <v>182</v>
      </c>
      <c r="D16" s="102" t="s">
        <v>185</v>
      </c>
      <c r="E16" s="102" t="s">
        <v>186</v>
      </c>
      <c r="F16" s="102" t="s">
        <v>183</v>
      </c>
      <c r="G16" s="102"/>
      <c r="H16" s="102" t="s">
        <v>184</v>
      </c>
    </row>
    <row r="17" spans="1:10" s="105" customFormat="1" ht="20.100000000000001" customHeight="1" x14ac:dyDescent="0.25">
      <c r="A17" s="106">
        <v>46054</v>
      </c>
      <c r="B17" s="103" t="e">
        <f>VLOOKUP($A17,Stunden!$D:$V,2,FALSE)</f>
        <v>#N/A</v>
      </c>
      <c r="C17" s="103" t="e">
        <f>VLOOKUP($A17,Stunden!$D:$V,3,FALSE)</f>
        <v>#N/A</v>
      </c>
      <c r="D17" s="103" t="e">
        <f>VLOOKUP($A17,Stunden!$D:$V,4,FALSE)</f>
        <v>#N/A</v>
      </c>
      <c r="E17" s="103">
        <v>0.5</v>
      </c>
      <c r="F17" s="103" t="e">
        <f>E17+D17</f>
        <v>#N/A</v>
      </c>
      <c r="G17" s="103"/>
      <c r="H17" s="103" t="e">
        <f>IF(VLOOKUP($A17,Stunden!$D:$V,17,FALSE)=0,"",VLOOKUP($A17,Stunden!$D:$V,17,FALSE))</f>
        <v>#N/A</v>
      </c>
      <c r="I17" s="104"/>
      <c r="J17" s="104"/>
    </row>
    <row r="18" spans="1:10" s="105" customFormat="1" ht="20.100000000000001" customHeight="1" x14ac:dyDescent="0.25">
      <c r="A18" s="106">
        <f>A17+1</f>
        <v>46055</v>
      </c>
      <c r="B18" s="103">
        <f>VLOOKUP($A18,Stunden!$D:$V,2,FALSE)</f>
        <v>0.34722222222222221</v>
      </c>
      <c r="C18" s="103">
        <f>VLOOKUP($A18,Stunden!$D:$V,3,FALSE)</f>
        <v>0.72916666666666663</v>
      </c>
      <c r="D18" s="103">
        <f>VLOOKUP($A18,Stunden!$D:$V,4,FALSE)</f>
        <v>2.0833333333333332E-2</v>
      </c>
      <c r="E18" s="103">
        <v>0.5</v>
      </c>
      <c r="F18" s="103">
        <f t="shared" ref="F18:F47" si="0">E18+D18</f>
        <v>0.52083333333333337</v>
      </c>
      <c r="G18" s="103"/>
      <c r="H18" s="103" t="str">
        <f>IF(VLOOKUP($A18,Stunden!$D:$V,17,FALSE)=0,"",VLOOKUP($A18,Stunden!$D:$V,17,FALSE))</f>
        <v/>
      </c>
      <c r="I18" s="104"/>
      <c r="J18" s="104"/>
    </row>
    <row r="19" spans="1:10" s="105" customFormat="1" ht="20.100000000000001" customHeight="1" x14ac:dyDescent="0.25">
      <c r="A19" s="106">
        <f t="shared" ref="A19:A47" si="1">A18+1</f>
        <v>46056</v>
      </c>
      <c r="B19" s="103">
        <f>VLOOKUP($A19,Stunden!$D:$V,2,FALSE)</f>
        <v>0.3263888888888889</v>
      </c>
      <c r="C19" s="103">
        <f>VLOOKUP($A19,Stunden!$D:$V,3,FALSE)</f>
        <v>0.67361111111111116</v>
      </c>
      <c r="D19" s="103">
        <f>VLOOKUP($A19,Stunden!$D:$V,4,FALSE)</f>
        <v>2.0833333333333332E-2</v>
      </c>
      <c r="E19" s="103">
        <v>0.5</v>
      </c>
      <c r="F19" s="103">
        <f t="shared" si="0"/>
        <v>0.52083333333333337</v>
      </c>
      <c r="G19" s="103"/>
      <c r="H19" s="103" t="str">
        <f>IF(VLOOKUP($A19,Stunden!$D:$V,17,FALSE)=0,"",VLOOKUP($A19,Stunden!$D:$V,17,FALSE))</f>
        <v/>
      </c>
      <c r="I19" s="104"/>
      <c r="J19" s="104"/>
    </row>
    <row r="20" spans="1:10" s="105" customFormat="1" ht="20.100000000000001" customHeight="1" x14ac:dyDescent="0.25">
      <c r="A20" s="106">
        <f t="shared" si="1"/>
        <v>46057</v>
      </c>
      <c r="B20" s="103">
        <f>VLOOKUP($A20,Stunden!$D:$V,2,FALSE)</f>
        <v>0.33680555555555558</v>
      </c>
      <c r="C20" s="103">
        <f>VLOOKUP($A20,Stunden!$D:$V,3,FALSE)</f>
        <v>0.72569444444444442</v>
      </c>
      <c r="D20" s="103">
        <f>VLOOKUP($A20,Stunden!$D:$V,4,FALSE)</f>
        <v>2.0833333333333332E-2</v>
      </c>
      <c r="E20" s="103">
        <v>0.5</v>
      </c>
      <c r="F20" s="103">
        <f t="shared" si="0"/>
        <v>0.52083333333333337</v>
      </c>
      <c r="G20" s="103"/>
      <c r="H20" s="103" t="str">
        <f>IF(VLOOKUP($A20,Stunden!$D:$V,17,FALSE)=0,"",VLOOKUP($A20,Stunden!$D:$V,17,FALSE))</f>
        <v/>
      </c>
      <c r="I20" s="104"/>
      <c r="J20" s="104"/>
    </row>
    <row r="21" spans="1:10" s="105" customFormat="1" ht="20.100000000000001" customHeight="1" x14ac:dyDescent="0.25">
      <c r="A21" s="106">
        <f t="shared" si="1"/>
        <v>46058</v>
      </c>
      <c r="B21" s="103">
        <f>VLOOKUP($A21,Stunden!$D:$V,2,FALSE)</f>
        <v>0.34375</v>
      </c>
      <c r="C21" s="103">
        <f>VLOOKUP($A21,Stunden!$D:$V,3,FALSE)</f>
        <v>0.73263888888888884</v>
      </c>
      <c r="D21" s="103">
        <f>VLOOKUP($A21,Stunden!$D:$V,4,FALSE)</f>
        <v>2.0833333333333332E-2</v>
      </c>
      <c r="E21" s="103">
        <v>0.5</v>
      </c>
      <c r="F21" s="103">
        <f t="shared" si="0"/>
        <v>0.52083333333333337</v>
      </c>
      <c r="G21" s="103"/>
      <c r="H21" s="103" t="str">
        <f>IF(VLOOKUP($A21,Stunden!$D:$V,17,FALSE)=0,"",VLOOKUP($A21,Stunden!$D:$V,17,FALSE))</f>
        <v/>
      </c>
      <c r="I21" s="104"/>
      <c r="J21" s="173"/>
    </row>
    <row r="22" spans="1:10" s="105" customFormat="1" ht="20.100000000000001" customHeight="1" x14ac:dyDescent="0.25">
      <c r="A22" s="106">
        <f t="shared" si="1"/>
        <v>46059</v>
      </c>
      <c r="B22" s="103">
        <f>VLOOKUP($A22,Stunden!$D:$V,2,FALSE)</f>
        <v>0.3576388888888889</v>
      </c>
      <c r="C22" s="103">
        <f>VLOOKUP($A22,Stunden!$D:$V,3,FALSE)</f>
        <v>0.59722222222222221</v>
      </c>
      <c r="D22" s="103">
        <f>VLOOKUP($A22,Stunden!$D:$V,4,FALSE)</f>
        <v>0</v>
      </c>
      <c r="E22" s="103">
        <v>0.5</v>
      </c>
      <c r="F22" s="103">
        <f t="shared" si="0"/>
        <v>0.5</v>
      </c>
      <c r="G22" s="103"/>
      <c r="H22" s="103" t="str">
        <f>IF(VLOOKUP($A22,Stunden!$D:$V,17,FALSE)=0,"",VLOOKUP($A22,Stunden!$D:$V,17,FALSE))</f>
        <v/>
      </c>
      <c r="J22" s="104"/>
    </row>
    <row r="23" spans="1:10" s="105" customFormat="1" ht="20.100000000000001" customHeight="1" x14ac:dyDescent="0.25">
      <c r="A23" s="106">
        <f t="shared" si="1"/>
        <v>46060</v>
      </c>
      <c r="B23" s="103">
        <f>VLOOKUP($A23,Stunden!$D:$V,2,FALSE)</f>
        <v>0</v>
      </c>
      <c r="C23" s="103">
        <f>VLOOKUP($A23,Stunden!$D:$V,3,FALSE)</f>
        <v>0</v>
      </c>
      <c r="D23" s="103">
        <f>VLOOKUP($A23,Stunden!$D:$V,4,FALSE)</f>
        <v>0</v>
      </c>
      <c r="E23" s="103">
        <v>0.5</v>
      </c>
      <c r="F23" s="103">
        <f t="shared" si="0"/>
        <v>0.5</v>
      </c>
      <c r="G23" s="103"/>
      <c r="H23" s="103" t="str">
        <f>IF(VLOOKUP($A23,Stunden!$D:$V,17,FALSE)=0,"",VLOOKUP($A23,Stunden!$D:$V,17,FALSE))</f>
        <v/>
      </c>
      <c r="J23" s="104"/>
    </row>
    <row r="24" spans="1:10" s="105" customFormat="1" ht="20.100000000000001" customHeight="1" x14ac:dyDescent="0.25">
      <c r="A24" s="106">
        <f t="shared" si="1"/>
        <v>46061</v>
      </c>
      <c r="B24" s="103">
        <f>VLOOKUP($A24,Stunden!$D:$V,2,FALSE)</f>
        <v>0</v>
      </c>
      <c r="C24" s="103">
        <f>VLOOKUP($A24,Stunden!$D:$V,3,FALSE)</f>
        <v>0</v>
      </c>
      <c r="D24" s="103">
        <f>VLOOKUP($A24,Stunden!$D:$V,4,FALSE)</f>
        <v>0</v>
      </c>
      <c r="E24" s="103">
        <v>0.5</v>
      </c>
      <c r="F24" s="103">
        <f t="shared" si="0"/>
        <v>0.5</v>
      </c>
      <c r="G24" s="103"/>
      <c r="H24" s="103" t="str">
        <f>IF(VLOOKUP($A24,Stunden!$D:$V,17,FALSE)=0,"",VLOOKUP($A24,Stunden!$D:$V,17,FALSE))</f>
        <v/>
      </c>
      <c r="J24" s="104"/>
    </row>
    <row r="25" spans="1:10" s="105" customFormat="1" ht="20.100000000000001" customHeight="1" x14ac:dyDescent="0.25">
      <c r="A25" s="106">
        <f t="shared" si="1"/>
        <v>46062</v>
      </c>
      <c r="B25" s="103">
        <f>VLOOKUP($A25,Stunden!$D:$V,2,FALSE)</f>
        <v>0.33333333333333331</v>
      </c>
      <c r="C25" s="103">
        <f>VLOOKUP($A25,Stunden!$D:$V,3,FALSE)</f>
        <v>0.66666666666666663</v>
      </c>
      <c r="D25" s="103">
        <f>VLOOKUP($A25,Stunden!$D:$V,4,FALSE)</f>
        <v>2.0833333333333332E-2</v>
      </c>
      <c r="E25" s="103">
        <v>0.5</v>
      </c>
      <c r="F25" s="103">
        <f t="shared" si="0"/>
        <v>0.52083333333333337</v>
      </c>
      <c r="G25" s="103"/>
      <c r="H25" s="103" t="str">
        <f>IF(VLOOKUP($A25,Stunden!$D:$V,17,FALSE)=0,"",VLOOKUP($A25,Stunden!$D:$V,17,FALSE))</f>
        <v/>
      </c>
      <c r="J25" s="104"/>
    </row>
    <row r="26" spans="1:10" s="105" customFormat="1" ht="20.100000000000001" customHeight="1" x14ac:dyDescent="0.25">
      <c r="A26" s="106">
        <f t="shared" si="1"/>
        <v>46063</v>
      </c>
      <c r="B26" s="103">
        <f>VLOOKUP($A26,Stunden!$D:$V,2,FALSE)</f>
        <v>0.3125</v>
      </c>
      <c r="C26" s="103">
        <f>VLOOKUP($A26,Stunden!$D:$V,3,FALSE)</f>
        <v>0.73958333333333337</v>
      </c>
      <c r="D26" s="103">
        <f>VLOOKUP($A26,Stunden!$D:$V,4,FALSE)</f>
        <v>3.125E-2</v>
      </c>
      <c r="E26" s="103">
        <v>0.5</v>
      </c>
      <c r="F26" s="103">
        <f t="shared" si="0"/>
        <v>0.53125</v>
      </c>
      <c r="G26" s="103"/>
      <c r="H26" s="103" t="str">
        <f>IF(VLOOKUP($A26,Stunden!$D:$V,17,FALSE)=0,"",VLOOKUP($A26,Stunden!$D:$V,17,FALSE))</f>
        <v/>
      </c>
      <c r="J26" s="104"/>
    </row>
    <row r="27" spans="1:10" s="105" customFormat="1" ht="20.100000000000001" customHeight="1" x14ac:dyDescent="0.25">
      <c r="A27" s="106">
        <f t="shared" si="1"/>
        <v>46064</v>
      </c>
      <c r="B27" s="103">
        <f>VLOOKUP($A27,Stunden!$D:$V,2,FALSE)</f>
        <v>0.34375</v>
      </c>
      <c r="C27" s="103">
        <f>VLOOKUP($A27,Stunden!$D:$V,3,FALSE)</f>
        <v>0.75</v>
      </c>
      <c r="D27" s="103">
        <f>VLOOKUP($A27,Stunden!$D:$V,4,FALSE)</f>
        <v>3.125E-2</v>
      </c>
      <c r="E27" s="103">
        <v>0.5</v>
      </c>
      <c r="F27" s="103">
        <f t="shared" si="0"/>
        <v>0.53125</v>
      </c>
      <c r="G27" s="103"/>
      <c r="H27" s="103" t="str">
        <f>IF(VLOOKUP($A27,Stunden!$D:$V,17,FALSE)=0,"",VLOOKUP($A27,Stunden!$D:$V,17,FALSE))</f>
        <v/>
      </c>
      <c r="J27" s="104"/>
    </row>
    <row r="28" spans="1:10" s="105" customFormat="1" ht="20.100000000000001" customHeight="1" x14ac:dyDescent="0.25">
      <c r="A28" s="106">
        <f t="shared" si="1"/>
        <v>46065</v>
      </c>
      <c r="B28" s="103">
        <f>VLOOKUP($A28,Stunden!$D:$V,2,FALSE)</f>
        <v>0.3125</v>
      </c>
      <c r="C28" s="103">
        <f>VLOOKUP($A28,Stunden!$D:$V,3,FALSE)</f>
        <v>0.70833333333333337</v>
      </c>
      <c r="D28" s="103">
        <f>VLOOKUP($A28,Stunden!$D:$V,4,FALSE)</f>
        <v>2.0833333333333332E-2</v>
      </c>
      <c r="E28" s="103">
        <v>0.5</v>
      </c>
      <c r="F28" s="103">
        <f t="shared" si="0"/>
        <v>0.52083333333333337</v>
      </c>
      <c r="G28" s="103"/>
      <c r="H28" s="103" t="str">
        <f>IF(VLOOKUP($A28,Stunden!$D:$V,17,FALSE)=0,"",VLOOKUP($A28,Stunden!$D:$V,17,FALSE))</f>
        <v/>
      </c>
      <c r="J28" s="104"/>
    </row>
    <row r="29" spans="1:10" s="105" customFormat="1" ht="20.100000000000001" customHeight="1" x14ac:dyDescent="0.25">
      <c r="A29" s="106">
        <f t="shared" si="1"/>
        <v>46066</v>
      </c>
      <c r="B29" s="103">
        <f>VLOOKUP($A29,Stunden!$D:$V,2,FALSE)</f>
        <v>0.3125</v>
      </c>
      <c r="C29" s="103">
        <f>VLOOKUP($A29,Stunden!$D:$V,3,FALSE)</f>
        <v>0.54166666666666663</v>
      </c>
      <c r="D29" s="103">
        <f>VLOOKUP($A29,Stunden!$D:$V,4,FALSE)</f>
        <v>0</v>
      </c>
      <c r="E29" s="103">
        <v>0.5</v>
      </c>
      <c r="F29" s="103">
        <f t="shared" si="0"/>
        <v>0.5</v>
      </c>
      <c r="G29" s="103"/>
      <c r="H29" s="103" t="str">
        <f>IF(VLOOKUP($A29,Stunden!$D:$V,17,FALSE)=0,"",VLOOKUP($A29,Stunden!$D:$V,17,FALSE))</f>
        <v/>
      </c>
      <c r="J29" s="104"/>
    </row>
    <row r="30" spans="1:10" s="105" customFormat="1" ht="20.100000000000001" customHeight="1" x14ac:dyDescent="0.25">
      <c r="A30" s="106">
        <f t="shared" si="1"/>
        <v>46067</v>
      </c>
      <c r="B30" s="103">
        <f>VLOOKUP($A30,Stunden!$D:$V,2,FALSE)</f>
        <v>0</v>
      </c>
      <c r="C30" s="103">
        <f>VLOOKUP($A30,Stunden!$D:$V,3,FALSE)</f>
        <v>0</v>
      </c>
      <c r="D30" s="103">
        <f>VLOOKUP($A30,Stunden!$D:$V,4,FALSE)</f>
        <v>0</v>
      </c>
      <c r="E30" s="103">
        <v>0.5</v>
      </c>
      <c r="F30" s="103">
        <f t="shared" si="0"/>
        <v>0.5</v>
      </c>
      <c r="G30" s="103"/>
      <c r="H30" s="103" t="str">
        <f>IF(VLOOKUP($A30,Stunden!$D:$V,17,FALSE)=0,"",VLOOKUP($A30,Stunden!$D:$V,17,FALSE))</f>
        <v/>
      </c>
      <c r="J30" s="104"/>
    </row>
    <row r="31" spans="1:10" s="105" customFormat="1" ht="20.100000000000001" customHeight="1" x14ac:dyDescent="0.25">
      <c r="A31" s="106">
        <f t="shared" si="1"/>
        <v>46068</v>
      </c>
      <c r="B31" s="103">
        <f>VLOOKUP($A31,Stunden!$D:$V,2,FALSE)</f>
        <v>0</v>
      </c>
      <c r="C31" s="103">
        <f>VLOOKUP($A31,Stunden!$D:$V,3,FALSE)</f>
        <v>0</v>
      </c>
      <c r="D31" s="103">
        <f>VLOOKUP($A31,Stunden!$D:$V,4,FALSE)</f>
        <v>0</v>
      </c>
      <c r="E31" s="103">
        <v>0.5</v>
      </c>
      <c r="F31" s="103">
        <f t="shared" si="0"/>
        <v>0.5</v>
      </c>
      <c r="G31" s="103"/>
      <c r="H31" s="103" t="str">
        <f>IF(VLOOKUP($A31,Stunden!$D:$V,17,FALSE)=0,"",VLOOKUP($A31,Stunden!$D:$V,17,FALSE))</f>
        <v/>
      </c>
      <c r="J31" s="104"/>
    </row>
    <row r="32" spans="1:10" s="105" customFormat="1" ht="20.100000000000001" customHeight="1" x14ac:dyDescent="0.25">
      <c r="A32" s="106">
        <f t="shared" si="1"/>
        <v>46069</v>
      </c>
      <c r="B32" s="103">
        <f>VLOOKUP($A32,Stunden!$D:$V,2,FALSE)</f>
        <v>0.3125</v>
      </c>
      <c r="C32" s="103">
        <f>VLOOKUP($A32,Stunden!$D:$V,3,FALSE)</f>
        <v>0.76041666666666663</v>
      </c>
      <c r="D32" s="103">
        <f>VLOOKUP($A32,Stunden!$D:$V,4,FALSE)</f>
        <v>3.125E-2</v>
      </c>
      <c r="E32" s="103">
        <v>0.5</v>
      </c>
      <c r="F32" s="103">
        <f t="shared" si="0"/>
        <v>0.53125</v>
      </c>
      <c r="G32" s="103"/>
      <c r="H32" s="103" t="str">
        <f>IF(VLOOKUP($A32,Stunden!$D:$V,17,FALSE)=0,"",VLOOKUP($A32,Stunden!$D:$V,17,FALSE))</f>
        <v/>
      </c>
      <c r="J32" s="104"/>
    </row>
    <row r="33" spans="1:10" s="105" customFormat="1" ht="20.100000000000001" customHeight="1" x14ac:dyDescent="0.25">
      <c r="A33" s="106">
        <f t="shared" si="1"/>
        <v>46070</v>
      </c>
      <c r="B33" s="103">
        <f>VLOOKUP($A33,Stunden!$D:$V,2,FALSE)</f>
        <v>0.35416666666666669</v>
      </c>
      <c r="C33" s="103">
        <f>VLOOKUP($A33,Stunden!$D:$V,3,FALSE)</f>
        <v>0.64583333333333337</v>
      </c>
      <c r="D33" s="103">
        <f>VLOOKUP($A33,Stunden!$D:$V,4,FALSE)</f>
        <v>2.0833333333333332E-2</v>
      </c>
      <c r="E33" s="103">
        <v>0.5</v>
      </c>
      <c r="F33" s="103">
        <f t="shared" si="0"/>
        <v>0.52083333333333337</v>
      </c>
      <c r="G33" s="103"/>
      <c r="H33" s="103" t="str">
        <f>IF(VLOOKUP($A33,Stunden!$D:$V,17,FALSE)=0,"",VLOOKUP($A33,Stunden!$D:$V,17,FALSE))</f>
        <v/>
      </c>
      <c r="J33" s="104"/>
    </row>
    <row r="34" spans="1:10" s="105" customFormat="1" ht="20.100000000000001" customHeight="1" x14ac:dyDescent="0.25">
      <c r="A34" s="106">
        <f t="shared" si="1"/>
        <v>46071</v>
      </c>
      <c r="B34" s="103">
        <f>VLOOKUP($A34,Stunden!$D:$V,2,FALSE)</f>
        <v>0.34375</v>
      </c>
      <c r="C34" s="103">
        <f>VLOOKUP($A34,Stunden!$D:$V,3,FALSE)</f>
        <v>0.76041666666666663</v>
      </c>
      <c r="D34" s="103">
        <f>VLOOKUP($A34,Stunden!$D:$V,4,FALSE)</f>
        <v>3.125E-2</v>
      </c>
      <c r="E34" s="103">
        <v>0.5</v>
      </c>
      <c r="F34" s="103">
        <f t="shared" si="0"/>
        <v>0.53125</v>
      </c>
      <c r="G34" s="103"/>
      <c r="H34" s="103" t="str">
        <f>IF(VLOOKUP($A34,Stunden!$D:$V,17,FALSE)=0,"",VLOOKUP($A34,Stunden!$D:$V,17,FALSE))</f>
        <v/>
      </c>
      <c r="J34" s="104"/>
    </row>
    <row r="35" spans="1:10" s="105" customFormat="1" ht="20.100000000000001" customHeight="1" x14ac:dyDescent="0.25">
      <c r="A35" s="106">
        <f t="shared" si="1"/>
        <v>46072</v>
      </c>
      <c r="B35" s="103">
        <f>VLOOKUP($A35,Stunden!$D:$V,2,FALSE)</f>
        <v>0.36458333333333331</v>
      </c>
      <c r="C35" s="103">
        <f>VLOOKUP($A35,Stunden!$D:$V,3,FALSE)</f>
        <v>0.73958333333333337</v>
      </c>
      <c r="D35" s="103">
        <f>VLOOKUP($A35,Stunden!$D:$V,4,FALSE)</f>
        <v>2.0833333333333332E-2</v>
      </c>
      <c r="E35" s="103">
        <v>0.5</v>
      </c>
      <c r="F35" s="103">
        <f t="shared" si="0"/>
        <v>0.52083333333333337</v>
      </c>
      <c r="G35" s="103"/>
      <c r="H35" s="103" t="str">
        <f>IF(VLOOKUP($A35,Stunden!$D:$V,17,FALSE)=0,"",VLOOKUP($A35,Stunden!$D:$V,17,FALSE))</f>
        <v/>
      </c>
      <c r="J35" s="104"/>
    </row>
    <row r="36" spans="1:10" s="105" customFormat="1" ht="20.100000000000001" customHeight="1" x14ac:dyDescent="0.25">
      <c r="A36" s="106">
        <f t="shared" si="1"/>
        <v>46073</v>
      </c>
      <c r="B36" s="103">
        <f>VLOOKUP($A36,Stunden!$D:$V,2,FALSE)</f>
        <v>0.36458333333333331</v>
      </c>
      <c r="C36" s="103">
        <f>VLOOKUP($A36,Stunden!$D:$V,3,FALSE)</f>
        <v>0.61458333333333337</v>
      </c>
      <c r="D36" s="103">
        <f>VLOOKUP($A36,Stunden!$D:$V,4,FALSE)</f>
        <v>0</v>
      </c>
      <c r="E36" s="103">
        <v>0.5</v>
      </c>
      <c r="F36" s="103">
        <f t="shared" si="0"/>
        <v>0.5</v>
      </c>
      <c r="G36" s="103"/>
      <c r="H36" s="103" t="str">
        <f>IF(VLOOKUP($A36,Stunden!$D:$V,17,FALSE)=0,"",VLOOKUP($A36,Stunden!$D:$V,17,FALSE))</f>
        <v/>
      </c>
      <c r="J36" s="104"/>
    </row>
    <row r="37" spans="1:10" s="105" customFormat="1" ht="20.100000000000001" customHeight="1" x14ac:dyDescent="0.25">
      <c r="A37" s="106">
        <f t="shared" si="1"/>
        <v>46074</v>
      </c>
      <c r="B37" s="103">
        <f>VLOOKUP($A37,Stunden!$D:$V,2,FALSE)</f>
        <v>0</v>
      </c>
      <c r="C37" s="103">
        <f>VLOOKUP($A37,Stunden!$D:$V,3,FALSE)</f>
        <v>0</v>
      </c>
      <c r="D37" s="103">
        <f>VLOOKUP($A37,Stunden!$D:$V,4,FALSE)</f>
        <v>0</v>
      </c>
      <c r="E37" s="103">
        <v>0.5</v>
      </c>
      <c r="F37" s="103">
        <f t="shared" si="0"/>
        <v>0.5</v>
      </c>
      <c r="G37" s="103"/>
      <c r="H37" s="103" t="str">
        <f>IF(VLOOKUP($A37,Stunden!$D:$V,17,FALSE)=0,"",VLOOKUP($A37,Stunden!$D:$V,17,FALSE))</f>
        <v/>
      </c>
      <c r="J37" s="104"/>
    </row>
    <row r="38" spans="1:10" s="105" customFormat="1" ht="20.100000000000001" customHeight="1" x14ac:dyDescent="0.25">
      <c r="A38" s="106">
        <f t="shared" si="1"/>
        <v>46075</v>
      </c>
      <c r="B38" s="103">
        <f>VLOOKUP($A38,Stunden!$D:$V,2,FALSE)</f>
        <v>0</v>
      </c>
      <c r="C38" s="103">
        <f>VLOOKUP($A38,Stunden!$D:$V,3,FALSE)</f>
        <v>0</v>
      </c>
      <c r="D38" s="103">
        <f>VLOOKUP($A38,Stunden!$D:$V,4,FALSE)</f>
        <v>0</v>
      </c>
      <c r="E38" s="103">
        <v>0.5</v>
      </c>
      <c r="F38" s="103">
        <f t="shared" si="0"/>
        <v>0.5</v>
      </c>
      <c r="G38" s="103"/>
      <c r="H38" s="103" t="str">
        <f>IF(VLOOKUP($A38,Stunden!$D:$V,17,FALSE)=0,"",VLOOKUP($A38,Stunden!$D:$V,17,FALSE))</f>
        <v/>
      </c>
      <c r="J38" s="104"/>
    </row>
    <row r="39" spans="1:10" s="105" customFormat="1" ht="20.100000000000001" customHeight="1" x14ac:dyDescent="0.25">
      <c r="A39" s="106">
        <f t="shared" si="1"/>
        <v>46076</v>
      </c>
      <c r="B39" s="103">
        <f>VLOOKUP($A39,Stunden!$D:$V,2,FALSE)</f>
        <v>0.34375</v>
      </c>
      <c r="C39" s="103">
        <f>VLOOKUP($A39,Stunden!$D:$V,3,FALSE)</f>
        <v>0.71875</v>
      </c>
      <c r="D39" s="103">
        <f>VLOOKUP($A39,Stunden!$D:$V,4,FALSE)</f>
        <v>2.0833333333333332E-2</v>
      </c>
      <c r="E39" s="103">
        <v>0.5</v>
      </c>
      <c r="F39" s="103">
        <f t="shared" si="0"/>
        <v>0.52083333333333337</v>
      </c>
      <c r="G39" s="103"/>
      <c r="H39" s="103" t="str">
        <f>IF(VLOOKUP($A39,Stunden!$D:$V,17,FALSE)=0,"",VLOOKUP($A39,Stunden!$D:$V,17,FALSE))</f>
        <v/>
      </c>
      <c r="J39" s="104"/>
    </row>
    <row r="40" spans="1:10" s="105" customFormat="1" ht="20.100000000000001" customHeight="1" x14ac:dyDescent="0.25">
      <c r="A40" s="106">
        <f t="shared" si="1"/>
        <v>46077</v>
      </c>
      <c r="B40" s="103">
        <f>VLOOKUP($A40,Stunden!$D:$V,2,FALSE)</f>
        <v>0.35416666666666669</v>
      </c>
      <c r="C40" s="103">
        <f>VLOOKUP($A40,Stunden!$D:$V,3,FALSE)</f>
        <v>0.73958333333333337</v>
      </c>
      <c r="D40" s="103">
        <f>VLOOKUP($A40,Stunden!$D:$V,4,FALSE)</f>
        <v>2.0833333333333332E-2</v>
      </c>
      <c r="E40" s="103">
        <v>0.5</v>
      </c>
      <c r="F40" s="103">
        <f t="shared" si="0"/>
        <v>0.52083333333333337</v>
      </c>
      <c r="G40" s="103"/>
      <c r="H40" s="103" t="str">
        <f>IF(VLOOKUP($A40,Stunden!$D:$V,17,FALSE)=0,"",VLOOKUP($A40,Stunden!$D:$V,17,FALSE))</f>
        <v/>
      </c>
      <c r="J40" s="104"/>
    </row>
    <row r="41" spans="1:10" s="105" customFormat="1" ht="20.100000000000001" customHeight="1" x14ac:dyDescent="0.25">
      <c r="A41" s="106">
        <f t="shared" si="1"/>
        <v>46078</v>
      </c>
      <c r="B41" s="103">
        <f>VLOOKUP($A41,Stunden!$D:$V,2,FALSE)</f>
        <v>0.35416666666666669</v>
      </c>
      <c r="C41" s="103">
        <v>0.625</v>
      </c>
      <c r="D41" s="103">
        <f>VLOOKUP($A41,Stunden!$D:$V,4,FALSE)</f>
        <v>4.1666666666666664E-2</v>
      </c>
      <c r="E41" s="103">
        <v>0.5</v>
      </c>
      <c r="F41" s="103">
        <f t="shared" si="0"/>
        <v>0.54166666666666663</v>
      </c>
      <c r="G41" s="103"/>
      <c r="H41" s="103" t="str">
        <f>IF(VLOOKUP($A41,Stunden!$D:$V,17,FALSE)=0,"",VLOOKUP($A41,Stunden!$D:$V,17,FALSE))</f>
        <v/>
      </c>
      <c r="J41" s="104"/>
    </row>
    <row r="42" spans="1:10" s="105" customFormat="1" ht="20.100000000000001" customHeight="1" x14ac:dyDescent="0.25">
      <c r="A42" s="106">
        <f t="shared" si="1"/>
        <v>46079</v>
      </c>
      <c r="B42" s="103">
        <f>VLOOKUP($A42,Stunden!$D:$V,2,FALSE)</f>
        <v>0</v>
      </c>
      <c r="C42" s="103">
        <f>VLOOKUP($A42,Stunden!$D:$V,3,FALSE)</f>
        <v>0</v>
      </c>
      <c r="D42" s="103">
        <f>VLOOKUP($A42,Stunden!$D:$V,4,FALSE)</f>
        <v>0</v>
      </c>
      <c r="E42" s="103">
        <v>0.5</v>
      </c>
      <c r="F42" s="103">
        <f t="shared" si="0"/>
        <v>0.5</v>
      </c>
      <c r="G42" s="103"/>
      <c r="H42" s="103" t="str">
        <f>IF(VLOOKUP($A42,Stunden!$D:$V,17,FALSE)=0,"",VLOOKUP($A42,Stunden!$D:$V,17,FALSE))</f>
        <v/>
      </c>
      <c r="J42" s="104"/>
    </row>
    <row r="43" spans="1:10" s="105" customFormat="1" ht="20.100000000000001" customHeight="1" x14ac:dyDescent="0.25">
      <c r="A43" s="106">
        <f t="shared" si="1"/>
        <v>46080</v>
      </c>
      <c r="B43" s="103">
        <f>VLOOKUP($A43,Stunden!$D:$V,2,FALSE)</f>
        <v>0</v>
      </c>
      <c r="C43" s="103">
        <f>VLOOKUP($A43,Stunden!$D:$V,3,FALSE)</f>
        <v>0</v>
      </c>
      <c r="D43" s="103">
        <f>VLOOKUP($A43,Stunden!$D:$V,4,FALSE)</f>
        <v>0</v>
      </c>
      <c r="E43" s="103">
        <v>0.5</v>
      </c>
      <c r="F43" s="103">
        <f t="shared" si="0"/>
        <v>0.5</v>
      </c>
      <c r="G43" s="103"/>
      <c r="H43" s="103" t="str">
        <f>IF(VLOOKUP($A43,Stunden!$D:$V,17,FALSE)=0,"",VLOOKUP($A43,Stunden!$D:$V,17,FALSE))</f>
        <v/>
      </c>
      <c r="J43" s="104"/>
    </row>
    <row r="44" spans="1:10" s="105" customFormat="1" ht="20.100000000000001" customHeight="1" x14ac:dyDescent="0.25">
      <c r="A44" s="106">
        <f t="shared" si="1"/>
        <v>46081</v>
      </c>
      <c r="B44" s="103">
        <f>VLOOKUP($A44,Stunden!$D:$V,2,FALSE)</f>
        <v>0</v>
      </c>
      <c r="C44" s="103">
        <f>VLOOKUP($A44,Stunden!$D:$V,3,FALSE)</f>
        <v>0</v>
      </c>
      <c r="D44" s="103">
        <f>VLOOKUP($A44,Stunden!$D:$V,4,FALSE)</f>
        <v>0</v>
      </c>
      <c r="E44" s="103">
        <v>0.5</v>
      </c>
      <c r="F44" s="103">
        <f t="shared" si="0"/>
        <v>0.5</v>
      </c>
      <c r="G44" s="103"/>
      <c r="H44" s="103" t="str">
        <f>IF(VLOOKUP($A44,Stunden!$D:$V,17,FALSE)=0,"",VLOOKUP($A44,Stunden!$D:$V,17,FALSE))</f>
        <v/>
      </c>
      <c r="J44" s="104"/>
    </row>
    <row r="45" spans="1:10" s="105" customFormat="1" ht="20.100000000000001" customHeight="1" x14ac:dyDescent="0.25">
      <c r="A45" s="106">
        <f t="shared" si="1"/>
        <v>46082</v>
      </c>
      <c r="B45" s="103">
        <f>VLOOKUP($A45,Stunden!$D:$V,2,FALSE)</f>
        <v>0</v>
      </c>
      <c r="C45" s="103">
        <f>VLOOKUP($A45,Stunden!$D:$V,3,FALSE)</f>
        <v>0</v>
      </c>
      <c r="D45" s="103">
        <f>VLOOKUP($A45,Stunden!$D:$V,4,FALSE)</f>
        <v>0</v>
      </c>
      <c r="E45" s="103">
        <v>0.5</v>
      </c>
      <c r="F45" s="103">
        <f t="shared" si="0"/>
        <v>0.5</v>
      </c>
      <c r="G45" s="103"/>
      <c r="H45" s="103" t="str">
        <f>IF(VLOOKUP($A45,Stunden!$D:$V,17,FALSE)=0,"",VLOOKUP($A45,Stunden!$D:$V,17,FALSE))</f>
        <v/>
      </c>
      <c r="J45" s="104"/>
    </row>
    <row r="46" spans="1:10" s="105" customFormat="1" ht="20.100000000000001" customHeight="1" x14ac:dyDescent="0.25">
      <c r="A46" s="106">
        <f t="shared" si="1"/>
        <v>46083</v>
      </c>
      <c r="B46" s="103">
        <f>VLOOKUP($A46,Stunden!$D:$V,2,FALSE)</f>
        <v>0.375</v>
      </c>
      <c r="C46" s="103">
        <f>VLOOKUP($A46,Stunden!$D:$V,3,FALSE)</f>
        <v>0.70833333333333337</v>
      </c>
      <c r="D46" s="103">
        <f>VLOOKUP($A46,Stunden!$D:$V,4,FALSE)</f>
        <v>2.0833333333333332E-2</v>
      </c>
      <c r="E46" s="103">
        <v>0.5</v>
      </c>
      <c r="F46" s="103">
        <f t="shared" si="0"/>
        <v>0.52083333333333337</v>
      </c>
      <c r="G46" s="103"/>
      <c r="H46" s="103" t="str">
        <f>IF(VLOOKUP($A46,Stunden!$D:$V,17,FALSE)=0,"",VLOOKUP($A46,Stunden!$D:$V,17,FALSE))</f>
        <v/>
      </c>
      <c r="J46" s="104"/>
    </row>
    <row r="47" spans="1:10" s="105" customFormat="1" ht="20.100000000000001" customHeight="1" x14ac:dyDescent="0.25">
      <c r="A47" s="106">
        <f t="shared" si="1"/>
        <v>46084</v>
      </c>
      <c r="B47" s="103">
        <f>VLOOKUP($A47,Stunden!$D:$V,2,FALSE)</f>
        <v>0.34375</v>
      </c>
      <c r="C47" s="103">
        <f>VLOOKUP($A47,Stunden!$D:$V,3,FALSE)</f>
        <v>0.64583333333333337</v>
      </c>
      <c r="D47" s="103">
        <f>VLOOKUP($A47,Stunden!$D:$V,4,FALSE)</f>
        <v>2.0833333333333332E-2</v>
      </c>
      <c r="E47" s="103">
        <v>0.5</v>
      </c>
      <c r="F47" s="103">
        <f t="shared" si="0"/>
        <v>0.52083333333333337</v>
      </c>
      <c r="G47" s="103"/>
      <c r="H47" s="103" t="str">
        <f>IF(VLOOKUP($A47,Stunden!$D:$V,17,FALSE)=0,"",VLOOKUP($A47,Stunden!$D:$V,17,FALSE))</f>
        <v/>
      </c>
      <c r="J47" s="104"/>
    </row>
    <row r="49" spans="10:10" x14ac:dyDescent="0.2">
      <c r="J49" s="119"/>
    </row>
  </sheetData>
  <mergeCells count="2">
    <mergeCell ref="C6:G6"/>
    <mergeCell ref="C11:G11"/>
  </mergeCells>
  <pageMargins left="0.70866141732283472" right="0.31496062992125984" top="0.39370078740157483" bottom="0.39370078740157483" header="0.31496062992125984" footer="0.31496062992125984"/>
  <pageSetup paperSize="9" orientation="portrait" r:id="rId1"/>
  <headerFooter>
    <oddFooter>&amp;C_x000D_&amp;1#&amp;"Arial"&amp;8&amp;K869197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2</xdr:col>
                    <xdr:colOff>447675</xdr:colOff>
                    <xdr:row>6</xdr:row>
                    <xdr:rowOff>142875</xdr:rowOff>
                  </from>
                  <to>
                    <xdr:col>2</xdr:col>
                    <xdr:colOff>752475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476250</xdr:colOff>
                    <xdr:row>6</xdr:row>
                    <xdr:rowOff>38100</xdr:rowOff>
                  </from>
                  <to>
                    <xdr:col>5</xdr:col>
                    <xdr:colOff>142875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752475</xdr:colOff>
                    <xdr:row>7</xdr:row>
                    <xdr:rowOff>152400</xdr:rowOff>
                  </from>
                  <to>
                    <xdr:col>5</xdr:col>
                    <xdr:colOff>419100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3</xdr:col>
                    <xdr:colOff>47625</xdr:colOff>
                    <xdr:row>7</xdr:row>
                    <xdr:rowOff>152400</xdr:rowOff>
                  </from>
                  <to>
                    <xdr:col>3</xdr:col>
                    <xdr:colOff>485775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3</xdr:col>
                    <xdr:colOff>438150</xdr:colOff>
                    <xdr:row>6</xdr:row>
                    <xdr:rowOff>47625</xdr:rowOff>
                  </from>
                  <to>
                    <xdr:col>4</xdr:col>
                    <xdr:colOff>104775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7CB83-B567-47A3-B649-F32C53BA225E}">
  <sheetPr codeName="Sheet12">
    <pageSetUpPr fitToPage="1"/>
  </sheetPr>
  <dimension ref="A6:J49"/>
  <sheetViews>
    <sheetView topLeftCell="A9" zoomScale="85" zoomScaleNormal="85" workbookViewId="0">
      <selection activeCell="C7" sqref="C7"/>
    </sheetView>
  </sheetViews>
  <sheetFormatPr defaultColWidth="11.42578125" defaultRowHeight="14.25" x14ac:dyDescent="0.2"/>
  <cols>
    <col min="1" max="1" width="12.85546875" style="98" customWidth="1"/>
    <col min="2" max="7" width="11.42578125" style="98"/>
    <col min="8" max="8" width="53.42578125" style="98" customWidth="1"/>
    <col min="9" max="16384" width="11.42578125" style="98"/>
  </cols>
  <sheetData>
    <row r="6" spans="1:8" ht="15" x14ac:dyDescent="0.25">
      <c r="A6" s="97" t="s">
        <v>172</v>
      </c>
      <c r="C6" s="228" t="str">
        <f>'pers. Daten'!O6</f>
        <v>Burke, André</v>
      </c>
      <c r="D6" s="228"/>
      <c r="E6" s="228"/>
      <c r="F6" s="228"/>
      <c r="G6" s="228"/>
    </row>
    <row r="7" spans="1:8" x14ac:dyDescent="0.2">
      <c r="C7" s="100"/>
    </row>
    <row r="8" spans="1:8" ht="15" x14ac:dyDescent="0.25">
      <c r="A8" s="97" t="s">
        <v>173</v>
      </c>
      <c r="C8" s="100" t="s">
        <v>174</v>
      </c>
      <c r="D8" s="98" t="s">
        <v>175</v>
      </c>
      <c r="E8" s="98" t="s">
        <v>176</v>
      </c>
      <c r="F8" s="98" t="s">
        <v>177</v>
      </c>
    </row>
    <row r="9" spans="1:8" ht="23.25" customHeight="1" x14ac:dyDescent="0.2">
      <c r="C9" s="100" t="s">
        <v>178</v>
      </c>
      <c r="E9" s="98" t="s">
        <v>179</v>
      </c>
    </row>
    <row r="10" spans="1:8" x14ac:dyDescent="0.2">
      <c r="C10" s="100"/>
    </row>
    <row r="11" spans="1:8" ht="15" x14ac:dyDescent="0.25">
      <c r="A11" s="97" t="s">
        <v>31</v>
      </c>
      <c r="C11" s="228" t="str">
        <f>'pers. Daten'!O1</f>
        <v>??</v>
      </c>
      <c r="D11" s="228"/>
      <c r="E11" s="228"/>
      <c r="F11" s="228"/>
      <c r="G11" s="228"/>
    </row>
    <row r="12" spans="1:8" x14ac:dyDescent="0.2">
      <c r="C12" s="100"/>
      <c r="H12" s="107"/>
    </row>
    <row r="13" spans="1:8" ht="15" x14ac:dyDescent="0.25">
      <c r="A13" s="97" t="s">
        <v>180</v>
      </c>
      <c r="C13" s="99">
        <f>MONTH(A17)</f>
        <v>4</v>
      </c>
      <c r="D13" s="108" t="str">
        <f>TEXT(DATE(1,C13,1),"MMMM")</f>
        <v>April</v>
      </c>
      <c r="E13" s="108"/>
      <c r="F13" s="108"/>
      <c r="G13" s="108"/>
    </row>
    <row r="16" spans="1:8" s="101" customFormat="1" ht="33" customHeight="1" x14ac:dyDescent="0.25">
      <c r="B16" s="102" t="s">
        <v>181</v>
      </c>
      <c r="C16" s="102" t="s">
        <v>182</v>
      </c>
      <c r="D16" s="102" t="s">
        <v>185</v>
      </c>
      <c r="E16" s="102" t="s">
        <v>186</v>
      </c>
      <c r="F16" s="102" t="s">
        <v>183</v>
      </c>
      <c r="G16" s="102"/>
      <c r="H16" s="102" t="s">
        <v>184</v>
      </c>
    </row>
    <row r="17" spans="1:10" s="105" customFormat="1" ht="20.100000000000001" customHeight="1" x14ac:dyDescent="0.25">
      <c r="A17" s="106">
        <v>46113</v>
      </c>
      <c r="B17" s="103">
        <f>VLOOKUP($A17,Stunden!$D:$V,2,FALSE)</f>
        <v>0</v>
      </c>
      <c r="C17" s="103">
        <f>VLOOKUP($A17,Stunden!$D:$V,3,FALSE)</f>
        <v>0</v>
      </c>
      <c r="D17" s="103">
        <f>VLOOKUP($A17,Stunden!$D:$V,4,FALSE)</f>
        <v>0</v>
      </c>
      <c r="E17" s="103">
        <v>0.5</v>
      </c>
      <c r="F17" s="103">
        <f>E17+D17</f>
        <v>0.5</v>
      </c>
      <c r="G17" s="103"/>
      <c r="H17" s="103" t="str">
        <f>IF(VLOOKUP($A17,Stunden!$D:$V,17,FALSE)=0,"",VLOOKUP($A17,Stunden!$D:$V,17,FALSE))</f>
        <v/>
      </c>
      <c r="I17" s="104"/>
      <c r="J17" s="104"/>
    </row>
    <row r="18" spans="1:10" s="105" customFormat="1" ht="20.100000000000001" customHeight="1" x14ac:dyDescent="0.25">
      <c r="A18" s="106">
        <f>A17+1</f>
        <v>46114</v>
      </c>
      <c r="B18" s="103">
        <f>VLOOKUP($A18,Stunden!$D:$V,2,FALSE)</f>
        <v>0</v>
      </c>
      <c r="C18" s="103">
        <f>VLOOKUP($A18,Stunden!$D:$V,3,FALSE)</f>
        <v>0</v>
      </c>
      <c r="D18" s="103">
        <f>VLOOKUP($A18,Stunden!$D:$V,4,FALSE)</f>
        <v>0</v>
      </c>
      <c r="E18" s="103">
        <v>0.5</v>
      </c>
      <c r="F18" s="103">
        <f t="shared" ref="F18:F47" si="0">E18+D18</f>
        <v>0.5</v>
      </c>
      <c r="G18" s="103"/>
      <c r="H18" s="103" t="str">
        <f>IF(VLOOKUP($A18,Stunden!$D:$V,17,FALSE)=0,"",VLOOKUP($A18,Stunden!$D:$V,17,FALSE))</f>
        <v/>
      </c>
      <c r="I18" s="104"/>
      <c r="J18" s="104"/>
    </row>
    <row r="19" spans="1:10" s="105" customFormat="1" ht="20.100000000000001" customHeight="1" x14ac:dyDescent="0.25">
      <c r="A19" s="106">
        <f t="shared" ref="A19:A47" si="1">A18+1</f>
        <v>46115</v>
      </c>
      <c r="B19" s="103">
        <f>VLOOKUP($A19,Stunden!$D:$V,2,FALSE)</f>
        <v>0</v>
      </c>
      <c r="C19" s="103">
        <f>VLOOKUP($A19,Stunden!$D:$V,3,FALSE)</f>
        <v>0</v>
      </c>
      <c r="D19" s="103" t="e">
        <f>VLOOKUP($A19,Stunden!$D:$V,4,FALSE)</f>
        <v>#REF!</v>
      </c>
      <c r="E19" s="103">
        <v>0.5</v>
      </c>
      <c r="F19" s="103" t="e">
        <f t="shared" si="0"/>
        <v>#REF!</v>
      </c>
      <c r="G19" s="103"/>
      <c r="H19" s="103" t="str">
        <f>IF(VLOOKUP($A19,Stunden!$D:$V,17,FALSE)=0,"",VLOOKUP($A19,Stunden!$D:$V,17,FALSE))</f>
        <v/>
      </c>
      <c r="I19" s="104"/>
      <c r="J19" s="104"/>
    </row>
    <row r="20" spans="1:10" s="105" customFormat="1" ht="20.100000000000001" customHeight="1" x14ac:dyDescent="0.25">
      <c r="A20" s="106">
        <f t="shared" si="1"/>
        <v>46116</v>
      </c>
      <c r="B20" s="103">
        <f>VLOOKUP($A20,Stunden!$D:$V,2,FALSE)</f>
        <v>0</v>
      </c>
      <c r="C20" s="103">
        <f>VLOOKUP($A20,Stunden!$D:$V,3,FALSE)</f>
        <v>0</v>
      </c>
      <c r="D20" s="103">
        <f>VLOOKUP($A20,Stunden!$D:$V,4,FALSE)</f>
        <v>0</v>
      </c>
      <c r="E20" s="103">
        <v>0.5</v>
      </c>
      <c r="F20" s="103">
        <f t="shared" si="0"/>
        <v>0.5</v>
      </c>
      <c r="G20" s="103"/>
      <c r="H20" s="103" t="str">
        <f>IF(VLOOKUP($A20,Stunden!$D:$V,17,FALSE)=0,"",VLOOKUP($A20,Stunden!$D:$V,17,FALSE))</f>
        <v/>
      </c>
      <c r="I20" s="104"/>
      <c r="J20" s="104"/>
    </row>
    <row r="21" spans="1:10" s="105" customFormat="1" ht="20.100000000000001" customHeight="1" x14ac:dyDescent="0.25">
      <c r="A21" s="106">
        <f t="shared" si="1"/>
        <v>46117</v>
      </c>
      <c r="B21" s="103">
        <f>VLOOKUP($A21,Stunden!$D:$V,2,FALSE)</f>
        <v>0</v>
      </c>
      <c r="C21" s="103">
        <f>VLOOKUP($A21,Stunden!$D:$V,3,FALSE)</f>
        <v>0</v>
      </c>
      <c r="D21" s="103">
        <f>VLOOKUP($A21,Stunden!$D:$V,4,FALSE)</f>
        <v>0</v>
      </c>
      <c r="E21" s="103">
        <v>0.5</v>
      </c>
      <c r="F21" s="103">
        <f t="shared" si="0"/>
        <v>0.5</v>
      </c>
      <c r="G21" s="103"/>
      <c r="H21" s="103" t="str">
        <f>IF(VLOOKUP($A21,Stunden!$D:$V,17,FALSE)=0,"",VLOOKUP($A21,Stunden!$D:$V,17,FALSE))</f>
        <v/>
      </c>
      <c r="I21" s="104"/>
      <c r="J21" s="104"/>
    </row>
    <row r="22" spans="1:10" s="105" customFormat="1" ht="20.100000000000001" customHeight="1" x14ac:dyDescent="0.25">
      <c r="A22" s="106">
        <f t="shared" si="1"/>
        <v>46118</v>
      </c>
      <c r="B22" s="103">
        <f>VLOOKUP($A22,Stunden!$D:$V,2,FALSE)</f>
        <v>0</v>
      </c>
      <c r="C22" s="103">
        <f>VLOOKUP($A22,Stunden!$D:$V,3,FALSE)</f>
        <v>0</v>
      </c>
      <c r="D22" s="103">
        <f>VLOOKUP($A22,Stunden!$D:$V,4,FALSE)</f>
        <v>0</v>
      </c>
      <c r="E22" s="103">
        <v>0.5</v>
      </c>
      <c r="F22" s="103">
        <f t="shared" si="0"/>
        <v>0.5</v>
      </c>
      <c r="G22" s="103"/>
      <c r="H22" s="103" t="str">
        <f>IF(VLOOKUP($A22,Stunden!$D:$V,17,FALSE)=0,"",VLOOKUP($A22,Stunden!$D:$V,17,FALSE))</f>
        <v/>
      </c>
      <c r="J22" s="104"/>
    </row>
    <row r="23" spans="1:10" s="105" customFormat="1" ht="20.100000000000001" customHeight="1" x14ac:dyDescent="0.25">
      <c r="A23" s="106">
        <f t="shared" si="1"/>
        <v>46119</v>
      </c>
      <c r="B23" s="103">
        <f>VLOOKUP($A23,Stunden!$D:$V,2,FALSE)</f>
        <v>0.32291666666666669</v>
      </c>
      <c r="C23" s="103">
        <f>VLOOKUP($A23,Stunden!$D:$V,3,FALSE)</f>
        <v>0</v>
      </c>
      <c r="D23" s="103">
        <f>VLOOKUP($A23,Stunden!$D:$V,4,FALSE)</f>
        <v>3.125E-2</v>
      </c>
      <c r="E23" s="103">
        <v>0.5</v>
      </c>
      <c r="F23" s="103">
        <f t="shared" si="0"/>
        <v>0.53125</v>
      </c>
      <c r="G23" s="103"/>
      <c r="H23" s="103" t="str">
        <f>IF(VLOOKUP($A23,Stunden!$D:$V,17,FALSE)=0,"",VLOOKUP($A23,Stunden!$D:$V,17,FALSE))</f>
        <v/>
      </c>
      <c r="J23" s="104"/>
    </row>
    <row r="24" spans="1:10" s="105" customFormat="1" ht="20.100000000000001" customHeight="1" x14ac:dyDescent="0.25">
      <c r="A24" s="106">
        <f t="shared" si="1"/>
        <v>46120</v>
      </c>
      <c r="B24" s="103">
        <f>VLOOKUP($A24,Stunden!$D:$V,2,FALSE)</f>
        <v>0</v>
      </c>
      <c r="C24" s="103">
        <f>VLOOKUP($A24,Stunden!$D:$V,3,FALSE)</f>
        <v>0</v>
      </c>
      <c r="D24" s="103">
        <f>VLOOKUP($A24,Stunden!$D:$V,4,FALSE)</f>
        <v>0</v>
      </c>
      <c r="E24" s="103">
        <v>0.5</v>
      </c>
      <c r="F24" s="103">
        <f t="shared" si="0"/>
        <v>0.5</v>
      </c>
      <c r="G24" s="103"/>
      <c r="H24" s="103" t="str">
        <f>IF(VLOOKUP($A24,Stunden!$D:$V,17,FALSE)=0,"",VLOOKUP($A24,Stunden!$D:$V,17,FALSE))</f>
        <v/>
      </c>
      <c r="J24" s="104"/>
    </row>
    <row r="25" spans="1:10" s="105" customFormat="1" ht="20.100000000000001" customHeight="1" x14ac:dyDescent="0.25">
      <c r="A25" s="106">
        <f t="shared" si="1"/>
        <v>46121</v>
      </c>
      <c r="B25" s="103">
        <f>VLOOKUP($A25,Stunden!$D:$V,2,FALSE)</f>
        <v>0</v>
      </c>
      <c r="C25" s="103">
        <f>VLOOKUP($A25,Stunden!$D:$V,3,FALSE)</f>
        <v>0</v>
      </c>
      <c r="D25" s="103">
        <f>VLOOKUP($A25,Stunden!$D:$V,4,FALSE)</f>
        <v>0</v>
      </c>
      <c r="E25" s="103">
        <v>0.5</v>
      </c>
      <c r="F25" s="103">
        <f t="shared" si="0"/>
        <v>0.5</v>
      </c>
      <c r="G25" s="103"/>
      <c r="H25" s="103" t="str">
        <f>IF(VLOOKUP($A25,Stunden!$D:$V,17,FALSE)=0,"",VLOOKUP($A25,Stunden!$D:$V,17,FALSE))</f>
        <v/>
      </c>
      <c r="J25" s="104"/>
    </row>
    <row r="26" spans="1:10" s="105" customFormat="1" ht="20.100000000000001" customHeight="1" x14ac:dyDescent="0.25">
      <c r="A26" s="106">
        <f t="shared" si="1"/>
        <v>46122</v>
      </c>
      <c r="B26" s="103">
        <f>VLOOKUP($A26,Stunden!$D:$V,2,FALSE)</f>
        <v>0</v>
      </c>
      <c r="C26" s="103">
        <f>VLOOKUP($A26,Stunden!$D:$V,3,FALSE)</f>
        <v>0</v>
      </c>
      <c r="D26" s="103">
        <f>VLOOKUP($A26,Stunden!$D:$V,4,FALSE)</f>
        <v>0</v>
      </c>
      <c r="E26" s="103">
        <v>0.45833333333333331</v>
      </c>
      <c r="F26" s="103">
        <f t="shared" si="0"/>
        <v>0.45833333333333331</v>
      </c>
      <c r="G26" s="103"/>
      <c r="H26" s="103" t="str">
        <f>IF(VLOOKUP($A26,Stunden!$D:$V,17,FALSE)=0,"",VLOOKUP($A26,Stunden!$D:$V,17,FALSE))</f>
        <v/>
      </c>
      <c r="J26" s="104"/>
    </row>
    <row r="27" spans="1:10" s="105" customFormat="1" ht="20.100000000000001" customHeight="1" x14ac:dyDescent="0.25">
      <c r="A27" s="106">
        <f t="shared" si="1"/>
        <v>46123</v>
      </c>
      <c r="B27" s="103">
        <f>VLOOKUP($A27,Stunden!$D:$V,2,FALSE)</f>
        <v>0</v>
      </c>
      <c r="C27" s="103">
        <f>VLOOKUP($A27,Stunden!$D:$V,3,FALSE)</f>
        <v>0</v>
      </c>
      <c r="D27" s="103">
        <f>VLOOKUP($A27,Stunden!$D:$V,4,FALSE)</f>
        <v>0</v>
      </c>
      <c r="E27" s="103">
        <v>0.5</v>
      </c>
      <c r="F27" s="103">
        <f t="shared" si="0"/>
        <v>0.5</v>
      </c>
      <c r="G27" s="103"/>
      <c r="H27" s="103" t="str">
        <f>IF(VLOOKUP($A27,Stunden!$D:$V,17,FALSE)=0,"",VLOOKUP($A27,Stunden!$D:$V,17,FALSE))</f>
        <v/>
      </c>
      <c r="J27" s="104"/>
    </row>
    <row r="28" spans="1:10" s="105" customFormat="1" ht="20.100000000000001" customHeight="1" x14ac:dyDescent="0.25">
      <c r="A28" s="106">
        <f t="shared" si="1"/>
        <v>46124</v>
      </c>
      <c r="B28" s="103">
        <f>VLOOKUP($A28,Stunden!$D:$V,2,FALSE)</f>
        <v>0</v>
      </c>
      <c r="C28" s="103">
        <f>VLOOKUP($A28,Stunden!$D:$V,3,FALSE)</f>
        <v>0</v>
      </c>
      <c r="D28" s="103">
        <f>VLOOKUP($A28,Stunden!$D:$V,4,FALSE)</f>
        <v>0</v>
      </c>
      <c r="E28" s="103">
        <v>0.5</v>
      </c>
      <c r="F28" s="103">
        <f t="shared" si="0"/>
        <v>0.5</v>
      </c>
      <c r="G28" s="103"/>
      <c r="H28" s="103" t="str">
        <f>IF(VLOOKUP($A28,Stunden!$D:$V,17,FALSE)=0,"",VLOOKUP($A28,Stunden!$D:$V,17,FALSE))</f>
        <v/>
      </c>
      <c r="J28" s="104"/>
    </row>
    <row r="29" spans="1:10" s="105" customFormat="1" ht="20.100000000000001" customHeight="1" x14ac:dyDescent="0.25">
      <c r="A29" s="106">
        <f t="shared" si="1"/>
        <v>46125</v>
      </c>
      <c r="B29" s="103" t="e">
        <f>VLOOKUP($A29,Stunden!$D:$V,2,FALSE)</f>
        <v>#N/A</v>
      </c>
      <c r="C29" s="103" t="e">
        <f>VLOOKUP($A29,Stunden!$D:$V,3,FALSE)</f>
        <v>#N/A</v>
      </c>
      <c r="D29" s="103" t="e">
        <f>VLOOKUP($A29,Stunden!$D:$V,4,FALSE)</f>
        <v>#N/A</v>
      </c>
      <c r="E29" s="103">
        <v>0.5</v>
      </c>
      <c r="F29" s="103" t="e">
        <f t="shared" si="0"/>
        <v>#N/A</v>
      </c>
      <c r="G29" s="103"/>
      <c r="H29" s="103" t="e">
        <f>IF(VLOOKUP($A29,Stunden!$D:$V,17,FALSE)=0,"",VLOOKUP($A29,Stunden!$D:$V,17,FALSE))</f>
        <v>#N/A</v>
      </c>
      <c r="J29" s="104"/>
    </row>
    <row r="30" spans="1:10" s="105" customFormat="1" ht="20.100000000000001" customHeight="1" x14ac:dyDescent="0.25">
      <c r="A30" s="106">
        <f t="shared" si="1"/>
        <v>46126</v>
      </c>
      <c r="B30" s="103" t="e">
        <f>VLOOKUP($A30,Stunden!$D:$V,2,FALSE)</f>
        <v>#N/A</v>
      </c>
      <c r="C30" s="103" t="e">
        <f>VLOOKUP($A30,Stunden!$D:$V,3,FALSE)</f>
        <v>#N/A</v>
      </c>
      <c r="D30" s="103" t="e">
        <f>VLOOKUP($A30,Stunden!$D:$V,4,FALSE)</f>
        <v>#N/A</v>
      </c>
      <c r="E30" s="103">
        <v>0.5</v>
      </c>
      <c r="F30" s="103" t="e">
        <f t="shared" si="0"/>
        <v>#N/A</v>
      </c>
      <c r="G30" s="103"/>
      <c r="H30" s="103" t="e">
        <f>IF(VLOOKUP($A30,Stunden!$D:$V,17,FALSE)=0,"",VLOOKUP($A30,Stunden!$D:$V,17,FALSE))</f>
        <v>#N/A</v>
      </c>
      <c r="J30" s="104"/>
    </row>
    <row r="31" spans="1:10" s="105" customFormat="1" ht="20.100000000000001" customHeight="1" x14ac:dyDescent="0.25">
      <c r="A31" s="106">
        <f t="shared" si="1"/>
        <v>46127</v>
      </c>
      <c r="B31" s="103" t="e">
        <f>VLOOKUP($A31,Stunden!$D:$V,2,FALSE)</f>
        <v>#N/A</v>
      </c>
      <c r="C31" s="103" t="e">
        <f>VLOOKUP($A31,Stunden!$D:$V,3,FALSE)</f>
        <v>#N/A</v>
      </c>
      <c r="D31" s="103" t="e">
        <f>VLOOKUP($A31,Stunden!$D:$V,4,FALSE)</f>
        <v>#N/A</v>
      </c>
      <c r="E31" s="103">
        <v>0.5</v>
      </c>
      <c r="F31" s="103" t="e">
        <f t="shared" si="0"/>
        <v>#N/A</v>
      </c>
      <c r="G31" s="103"/>
      <c r="H31" s="103" t="e">
        <f>IF(VLOOKUP($A31,Stunden!$D:$V,17,FALSE)=0,"",VLOOKUP($A31,Stunden!$D:$V,17,FALSE))</f>
        <v>#N/A</v>
      </c>
      <c r="J31" s="104"/>
    </row>
    <row r="32" spans="1:10" s="105" customFormat="1" ht="20.100000000000001" customHeight="1" x14ac:dyDescent="0.25">
      <c r="A32" s="106">
        <f t="shared" si="1"/>
        <v>46128</v>
      </c>
      <c r="B32" s="103" t="e">
        <f>VLOOKUP($A32,Stunden!$D:$V,2,FALSE)</f>
        <v>#N/A</v>
      </c>
      <c r="C32" s="103" t="e">
        <f>VLOOKUP($A32,Stunden!$D:$V,3,FALSE)</f>
        <v>#N/A</v>
      </c>
      <c r="D32" s="103" t="e">
        <f>VLOOKUP($A32,Stunden!$D:$V,4,FALSE)</f>
        <v>#N/A</v>
      </c>
      <c r="E32" s="103">
        <v>0.5</v>
      </c>
      <c r="F32" s="103" t="e">
        <f t="shared" si="0"/>
        <v>#N/A</v>
      </c>
      <c r="G32" s="103"/>
      <c r="H32" s="103" t="e">
        <f>IF(VLOOKUP($A32,Stunden!$D:$V,17,FALSE)=0,"",VLOOKUP($A32,Stunden!$D:$V,17,FALSE))</f>
        <v>#N/A</v>
      </c>
      <c r="J32" s="104"/>
    </row>
    <row r="33" spans="1:10" s="105" customFormat="1" ht="20.100000000000001" customHeight="1" x14ac:dyDescent="0.25">
      <c r="A33" s="106">
        <f t="shared" si="1"/>
        <v>46129</v>
      </c>
      <c r="B33" s="103" t="e">
        <f>VLOOKUP($A33,Stunden!$D:$V,2,FALSE)</f>
        <v>#N/A</v>
      </c>
      <c r="C33" s="103" t="e">
        <f>VLOOKUP($A33,Stunden!$D:$V,3,FALSE)</f>
        <v>#N/A</v>
      </c>
      <c r="D33" s="103" t="e">
        <f>VLOOKUP($A33,Stunden!$D:$V,4,FALSE)</f>
        <v>#N/A</v>
      </c>
      <c r="E33" s="103">
        <v>0.5</v>
      </c>
      <c r="F33" s="103" t="e">
        <f t="shared" si="0"/>
        <v>#N/A</v>
      </c>
      <c r="G33" s="103"/>
      <c r="H33" s="103" t="e">
        <f>IF(VLOOKUP($A33,Stunden!$D:$V,17,FALSE)=0,"",VLOOKUP($A33,Stunden!$D:$V,17,FALSE))</f>
        <v>#N/A</v>
      </c>
      <c r="J33" s="104"/>
    </row>
    <row r="34" spans="1:10" s="105" customFormat="1" ht="20.100000000000001" customHeight="1" x14ac:dyDescent="0.25">
      <c r="A34" s="106">
        <f t="shared" si="1"/>
        <v>46130</v>
      </c>
      <c r="B34" s="103" t="e">
        <f>VLOOKUP($A34,Stunden!$D:$V,2,FALSE)</f>
        <v>#N/A</v>
      </c>
      <c r="C34" s="103" t="e">
        <f>VLOOKUP($A34,Stunden!$D:$V,3,FALSE)</f>
        <v>#N/A</v>
      </c>
      <c r="D34" s="103" t="e">
        <f>VLOOKUP($A34,Stunden!$D:$V,4,FALSE)</f>
        <v>#N/A</v>
      </c>
      <c r="E34" s="103">
        <v>0.5</v>
      </c>
      <c r="F34" s="103" t="e">
        <f t="shared" si="0"/>
        <v>#N/A</v>
      </c>
      <c r="G34" s="103"/>
      <c r="H34" s="103" t="e">
        <f>IF(VLOOKUP($A34,Stunden!$D:$V,17,FALSE)=0,"",VLOOKUP($A34,Stunden!$D:$V,17,FALSE))</f>
        <v>#N/A</v>
      </c>
      <c r="J34" s="104"/>
    </row>
    <row r="35" spans="1:10" s="105" customFormat="1" ht="20.100000000000001" customHeight="1" x14ac:dyDescent="0.25">
      <c r="A35" s="106">
        <f t="shared" si="1"/>
        <v>46131</v>
      </c>
      <c r="B35" s="103" t="e">
        <f>VLOOKUP($A35,Stunden!$D:$V,2,FALSE)</f>
        <v>#N/A</v>
      </c>
      <c r="C35" s="103" t="e">
        <f>VLOOKUP($A35,Stunden!$D:$V,3,FALSE)</f>
        <v>#N/A</v>
      </c>
      <c r="D35" s="103" t="e">
        <f>VLOOKUP($A35,Stunden!$D:$V,4,FALSE)</f>
        <v>#N/A</v>
      </c>
      <c r="E35" s="103">
        <v>0.5</v>
      </c>
      <c r="F35" s="103" t="e">
        <f t="shared" si="0"/>
        <v>#N/A</v>
      </c>
      <c r="G35" s="103"/>
      <c r="H35" s="103" t="e">
        <f>IF(VLOOKUP($A35,Stunden!$D:$V,17,FALSE)=0,"",VLOOKUP($A35,Stunden!$D:$V,17,FALSE))</f>
        <v>#N/A</v>
      </c>
      <c r="J35" s="104"/>
    </row>
    <row r="36" spans="1:10" s="105" customFormat="1" ht="20.100000000000001" customHeight="1" x14ac:dyDescent="0.25">
      <c r="A36" s="106">
        <f t="shared" si="1"/>
        <v>46132</v>
      </c>
      <c r="B36" s="103" t="e">
        <f>VLOOKUP($A36,Stunden!$D:$V,2,FALSE)</f>
        <v>#N/A</v>
      </c>
      <c r="C36" s="103" t="e">
        <f>VLOOKUP($A36,Stunden!$D:$V,3,FALSE)</f>
        <v>#N/A</v>
      </c>
      <c r="D36" s="103" t="e">
        <f>VLOOKUP($A36,Stunden!$D:$V,4,FALSE)</f>
        <v>#N/A</v>
      </c>
      <c r="E36" s="103">
        <v>0.5</v>
      </c>
      <c r="F36" s="103" t="e">
        <f t="shared" si="0"/>
        <v>#N/A</v>
      </c>
      <c r="G36" s="103"/>
      <c r="H36" s="103" t="e">
        <f>IF(VLOOKUP($A36,Stunden!$D:$V,17,FALSE)=0,"",VLOOKUP($A36,Stunden!$D:$V,17,FALSE))</f>
        <v>#N/A</v>
      </c>
      <c r="J36" s="104"/>
    </row>
    <row r="37" spans="1:10" s="105" customFormat="1" ht="20.100000000000001" customHeight="1" x14ac:dyDescent="0.25">
      <c r="A37" s="106">
        <f t="shared" si="1"/>
        <v>46133</v>
      </c>
      <c r="B37" s="103" t="e">
        <f>VLOOKUP($A37,Stunden!$D:$V,2,FALSE)</f>
        <v>#N/A</v>
      </c>
      <c r="C37" s="103" t="e">
        <f>VLOOKUP($A37,Stunden!$D:$V,3,FALSE)</f>
        <v>#N/A</v>
      </c>
      <c r="D37" s="103" t="e">
        <f>VLOOKUP($A37,Stunden!$D:$V,4,FALSE)</f>
        <v>#N/A</v>
      </c>
      <c r="E37" s="103">
        <v>0.5</v>
      </c>
      <c r="F37" s="103" t="e">
        <f t="shared" si="0"/>
        <v>#N/A</v>
      </c>
      <c r="G37" s="103"/>
      <c r="H37" s="103" t="e">
        <f>IF(VLOOKUP($A37,Stunden!$D:$V,17,FALSE)=0,"",VLOOKUP($A37,Stunden!$D:$V,17,FALSE))</f>
        <v>#N/A</v>
      </c>
      <c r="J37" s="104"/>
    </row>
    <row r="38" spans="1:10" s="105" customFormat="1" ht="20.100000000000001" customHeight="1" x14ac:dyDescent="0.25">
      <c r="A38" s="106">
        <f t="shared" si="1"/>
        <v>46134</v>
      </c>
      <c r="B38" s="103" t="e">
        <f>VLOOKUP($A38,Stunden!$D:$V,2,FALSE)</f>
        <v>#N/A</v>
      </c>
      <c r="C38" s="103" t="e">
        <f>VLOOKUP($A38,Stunden!$D:$V,3,FALSE)</f>
        <v>#N/A</v>
      </c>
      <c r="D38" s="103" t="e">
        <f>VLOOKUP($A38,Stunden!$D:$V,4,FALSE)</f>
        <v>#N/A</v>
      </c>
      <c r="E38" s="103">
        <v>0.4375</v>
      </c>
      <c r="F38" s="103" t="e">
        <f t="shared" si="0"/>
        <v>#N/A</v>
      </c>
      <c r="G38" s="103"/>
      <c r="H38" s="103" t="e">
        <f>IF(VLOOKUP($A38,Stunden!$D:$V,17,FALSE)=0,"",VLOOKUP($A38,Stunden!$D:$V,17,FALSE))</f>
        <v>#N/A</v>
      </c>
      <c r="J38" s="104"/>
    </row>
    <row r="39" spans="1:10" s="105" customFormat="1" ht="20.100000000000001" customHeight="1" x14ac:dyDescent="0.25">
      <c r="A39" s="106">
        <f t="shared" si="1"/>
        <v>46135</v>
      </c>
      <c r="B39" s="103" t="e">
        <f>VLOOKUP($A39,Stunden!$D:$V,2,FALSE)</f>
        <v>#N/A</v>
      </c>
      <c r="C39" s="103" t="e">
        <f>VLOOKUP($A39,Stunden!$D:$V,3,FALSE)</f>
        <v>#N/A</v>
      </c>
      <c r="D39" s="103" t="e">
        <f>VLOOKUP($A39,Stunden!$D:$V,4,FALSE)</f>
        <v>#N/A</v>
      </c>
      <c r="E39" s="103">
        <v>0.5</v>
      </c>
      <c r="F39" s="103" t="e">
        <f t="shared" si="0"/>
        <v>#N/A</v>
      </c>
      <c r="G39" s="103"/>
      <c r="H39" s="103" t="e">
        <f>IF(VLOOKUP($A39,Stunden!$D:$V,17,FALSE)=0,"",VLOOKUP($A39,Stunden!$D:$V,17,FALSE))</f>
        <v>#N/A</v>
      </c>
      <c r="J39" s="104"/>
    </row>
    <row r="40" spans="1:10" s="105" customFormat="1" ht="20.100000000000001" customHeight="1" x14ac:dyDescent="0.25">
      <c r="A40" s="106">
        <f t="shared" si="1"/>
        <v>46136</v>
      </c>
      <c r="B40" s="103" t="e">
        <f>VLOOKUP($A40,Stunden!$D:$V,2,FALSE)</f>
        <v>#N/A</v>
      </c>
      <c r="C40" s="103" t="e">
        <f>VLOOKUP($A40,Stunden!$D:$V,3,FALSE)</f>
        <v>#N/A</v>
      </c>
      <c r="D40" s="103" t="e">
        <f>VLOOKUP($A40,Stunden!$D:$V,4,FALSE)</f>
        <v>#N/A</v>
      </c>
      <c r="E40" s="103">
        <v>0.5</v>
      </c>
      <c r="F40" s="103" t="e">
        <f t="shared" si="0"/>
        <v>#N/A</v>
      </c>
      <c r="G40" s="103"/>
      <c r="H40" s="103" t="e">
        <f>IF(VLOOKUP($A40,Stunden!$D:$V,17,FALSE)=0,"",VLOOKUP($A40,Stunden!$D:$V,17,FALSE))</f>
        <v>#N/A</v>
      </c>
      <c r="J40" s="104"/>
    </row>
    <row r="41" spans="1:10" s="105" customFormat="1" ht="20.100000000000001" customHeight="1" x14ac:dyDescent="0.25">
      <c r="A41" s="106">
        <f t="shared" si="1"/>
        <v>46137</v>
      </c>
      <c r="B41" s="103" t="e">
        <f>VLOOKUP($A41,Stunden!$D:$V,2,FALSE)</f>
        <v>#N/A</v>
      </c>
      <c r="C41" s="103" t="e">
        <f>VLOOKUP($A41,Stunden!$D:$V,3,FALSE)</f>
        <v>#N/A</v>
      </c>
      <c r="D41" s="103" t="e">
        <f>VLOOKUP($A41,Stunden!$D:$V,4,FALSE)</f>
        <v>#N/A</v>
      </c>
      <c r="E41" s="103">
        <v>0.5</v>
      </c>
      <c r="F41" s="103" t="e">
        <f t="shared" si="0"/>
        <v>#N/A</v>
      </c>
      <c r="G41" s="103"/>
      <c r="H41" s="103" t="e">
        <f>IF(VLOOKUP($A41,Stunden!$D:$V,17,FALSE)=0,"",VLOOKUP($A41,Stunden!$D:$V,17,FALSE))</f>
        <v>#N/A</v>
      </c>
      <c r="J41" s="104"/>
    </row>
    <row r="42" spans="1:10" s="105" customFormat="1" ht="20.100000000000001" customHeight="1" x14ac:dyDescent="0.25">
      <c r="A42" s="106">
        <f t="shared" si="1"/>
        <v>46138</v>
      </c>
      <c r="B42" s="103" t="e">
        <f>VLOOKUP($A42,Stunden!$D:$V,2,FALSE)</f>
        <v>#N/A</v>
      </c>
      <c r="C42" s="103" t="e">
        <f>VLOOKUP($A42,Stunden!$D:$V,3,FALSE)</f>
        <v>#N/A</v>
      </c>
      <c r="D42" s="103" t="e">
        <f>VLOOKUP($A42,Stunden!$D:$V,4,FALSE)</f>
        <v>#N/A</v>
      </c>
      <c r="E42" s="103">
        <v>0.5</v>
      </c>
      <c r="F42" s="103" t="e">
        <f t="shared" si="0"/>
        <v>#N/A</v>
      </c>
      <c r="G42" s="103"/>
      <c r="H42" s="103" t="e">
        <f>IF(VLOOKUP($A42,Stunden!$D:$V,17,FALSE)=0,"",VLOOKUP($A42,Stunden!$D:$V,17,FALSE))</f>
        <v>#N/A</v>
      </c>
      <c r="J42" s="104"/>
    </row>
    <row r="43" spans="1:10" s="105" customFormat="1" ht="20.100000000000001" customHeight="1" x14ac:dyDescent="0.25">
      <c r="A43" s="106">
        <f t="shared" si="1"/>
        <v>46139</v>
      </c>
      <c r="B43" s="103" t="e">
        <f>VLOOKUP($A43,Stunden!$D:$V,2,FALSE)</f>
        <v>#N/A</v>
      </c>
      <c r="C43" s="103" t="e">
        <f>VLOOKUP($A43,Stunden!$D:$V,3,FALSE)</f>
        <v>#N/A</v>
      </c>
      <c r="D43" s="103" t="e">
        <f>VLOOKUP($A43,Stunden!$D:$V,4,FALSE)</f>
        <v>#N/A</v>
      </c>
      <c r="E43" s="103">
        <v>0.5</v>
      </c>
      <c r="F43" s="103" t="e">
        <f t="shared" si="0"/>
        <v>#N/A</v>
      </c>
      <c r="G43" s="103"/>
      <c r="H43" s="103" t="e">
        <f>IF(VLOOKUP($A43,Stunden!$D:$V,17,FALSE)=0,"",VLOOKUP($A43,Stunden!$D:$V,17,FALSE))</f>
        <v>#N/A</v>
      </c>
      <c r="J43" s="104"/>
    </row>
    <row r="44" spans="1:10" s="105" customFormat="1" ht="20.100000000000001" customHeight="1" x14ac:dyDescent="0.25">
      <c r="A44" s="106">
        <f t="shared" si="1"/>
        <v>46140</v>
      </c>
      <c r="B44" s="103" t="e">
        <f>VLOOKUP($A44,Stunden!$D:$V,2,FALSE)</f>
        <v>#N/A</v>
      </c>
      <c r="C44" s="103" t="e">
        <f>VLOOKUP($A44,Stunden!$D:$V,3,FALSE)</f>
        <v>#N/A</v>
      </c>
      <c r="D44" s="103" t="e">
        <f>VLOOKUP($A44,Stunden!$D:$V,4,FALSE)</f>
        <v>#N/A</v>
      </c>
      <c r="E44" s="103">
        <v>0.5</v>
      </c>
      <c r="F44" s="103" t="e">
        <f t="shared" si="0"/>
        <v>#N/A</v>
      </c>
      <c r="G44" s="103"/>
      <c r="H44" s="103" t="e">
        <f>IF(VLOOKUP($A44,Stunden!$D:$V,17,FALSE)=0,"",VLOOKUP($A44,Stunden!$D:$V,17,FALSE))</f>
        <v>#N/A</v>
      </c>
      <c r="J44" s="104"/>
    </row>
    <row r="45" spans="1:10" s="105" customFormat="1" ht="20.100000000000001" customHeight="1" x14ac:dyDescent="0.25">
      <c r="A45" s="106">
        <f t="shared" si="1"/>
        <v>46141</v>
      </c>
      <c r="B45" s="103" t="e">
        <f>VLOOKUP($A45,Stunden!$D:$V,2,FALSE)</f>
        <v>#N/A</v>
      </c>
      <c r="C45" s="103" t="e">
        <f>VLOOKUP($A45,Stunden!$D:$V,3,FALSE)</f>
        <v>#N/A</v>
      </c>
      <c r="D45" s="103" t="e">
        <f>VLOOKUP($A45,Stunden!$D:$V,4,FALSE)</f>
        <v>#N/A</v>
      </c>
      <c r="E45" s="103">
        <v>0.5</v>
      </c>
      <c r="F45" s="103" t="e">
        <f t="shared" si="0"/>
        <v>#N/A</v>
      </c>
      <c r="G45" s="103"/>
      <c r="H45" s="103" t="e">
        <f>IF(VLOOKUP($A45,Stunden!$D:$V,17,FALSE)=0,"",VLOOKUP($A45,Stunden!$D:$V,17,FALSE))</f>
        <v>#N/A</v>
      </c>
      <c r="J45" s="104"/>
    </row>
    <row r="46" spans="1:10" s="105" customFormat="1" ht="20.100000000000001" customHeight="1" x14ac:dyDescent="0.25">
      <c r="A46" s="106">
        <f t="shared" si="1"/>
        <v>46142</v>
      </c>
      <c r="B46" s="103" t="e">
        <f>VLOOKUP($A46,Stunden!$D:$V,2,FALSE)</f>
        <v>#N/A</v>
      </c>
      <c r="C46" s="103" t="e">
        <f>VLOOKUP($A46,Stunden!$D:$V,3,FALSE)</f>
        <v>#N/A</v>
      </c>
      <c r="D46" s="103" t="e">
        <f>VLOOKUP($A46,Stunden!$D:$V,4,FALSE)</f>
        <v>#N/A</v>
      </c>
      <c r="E46" s="103">
        <v>0.5</v>
      </c>
      <c r="F46" s="103" t="e">
        <f t="shared" si="0"/>
        <v>#N/A</v>
      </c>
      <c r="G46" s="103"/>
      <c r="H46" s="103" t="e">
        <f>IF(VLOOKUP($A46,Stunden!$D:$V,17,FALSE)=0,"",VLOOKUP($A46,Stunden!$D:$V,17,FALSE))</f>
        <v>#N/A</v>
      </c>
      <c r="J46" s="104"/>
    </row>
    <row r="47" spans="1:10" s="105" customFormat="1" ht="20.100000000000001" customHeight="1" x14ac:dyDescent="0.25">
      <c r="A47" s="106">
        <f t="shared" si="1"/>
        <v>46143</v>
      </c>
      <c r="B47" s="103" t="e">
        <f>VLOOKUP($A47,Stunden!$D:$V,2,FALSE)</f>
        <v>#N/A</v>
      </c>
      <c r="C47" s="103" t="e">
        <f>VLOOKUP($A47,Stunden!$D:$V,3,FALSE)</f>
        <v>#N/A</v>
      </c>
      <c r="D47" s="103" t="e">
        <f>VLOOKUP($A47,Stunden!$D:$V,4,FALSE)</f>
        <v>#N/A</v>
      </c>
      <c r="E47" s="103">
        <v>0.5</v>
      </c>
      <c r="F47" s="103" t="e">
        <f t="shared" si="0"/>
        <v>#N/A</v>
      </c>
      <c r="G47" s="103"/>
      <c r="H47" s="103" t="e">
        <f>IF(VLOOKUP($A47,Stunden!$D:$V,17,FALSE)=0,"",VLOOKUP($A47,Stunden!$D:$V,17,FALSE))</f>
        <v>#N/A</v>
      </c>
      <c r="J47" s="104"/>
    </row>
    <row r="49" spans="10:10" x14ac:dyDescent="0.2">
      <c r="J49" s="119"/>
    </row>
  </sheetData>
  <mergeCells count="2">
    <mergeCell ref="C6:G6"/>
    <mergeCell ref="C11:G11"/>
  </mergeCells>
  <pageMargins left="0.70866141732283472" right="0.31496062992125984" top="0.39370078740157483" bottom="0.39370078740157483" header="0.31496062992125984" footer="0.31496062992125984"/>
  <pageSetup paperSize="9" scale="68" orientation="portrait" r:id="rId1"/>
  <headerFooter>
    <oddFooter>&amp;C_x000D_&amp;1#&amp;"Arial"&amp;8&amp;K869197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Check Box 1">
              <controlPr defaultSize="0" autoFill="0" autoLine="0" autoPict="0">
                <anchor moveWithCells="1">
                  <from>
                    <xdr:col>2</xdr:col>
                    <xdr:colOff>447675</xdr:colOff>
                    <xdr:row>6</xdr:row>
                    <xdr:rowOff>142875</xdr:rowOff>
                  </from>
                  <to>
                    <xdr:col>2</xdr:col>
                    <xdr:colOff>752475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Check Box 2">
              <controlPr defaultSize="0" autoFill="0" autoLine="0" autoPict="0">
                <anchor moveWithCells="1">
                  <from>
                    <xdr:col>4</xdr:col>
                    <xdr:colOff>476250</xdr:colOff>
                    <xdr:row>6</xdr:row>
                    <xdr:rowOff>38100</xdr:rowOff>
                  </from>
                  <to>
                    <xdr:col>5</xdr:col>
                    <xdr:colOff>142875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Check Box 3">
              <controlPr defaultSize="0" autoFill="0" autoLine="0" autoPict="0">
                <anchor moveWithCells="1">
                  <from>
                    <xdr:col>4</xdr:col>
                    <xdr:colOff>752475</xdr:colOff>
                    <xdr:row>7</xdr:row>
                    <xdr:rowOff>152400</xdr:rowOff>
                  </from>
                  <to>
                    <xdr:col>5</xdr:col>
                    <xdr:colOff>419100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Check Box 4">
              <controlPr defaultSize="0" autoFill="0" autoLine="0" autoPict="0">
                <anchor moveWithCells="1">
                  <from>
                    <xdr:col>3</xdr:col>
                    <xdr:colOff>47625</xdr:colOff>
                    <xdr:row>7</xdr:row>
                    <xdr:rowOff>152400</xdr:rowOff>
                  </from>
                  <to>
                    <xdr:col>3</xdr:col>
                    <xdr:colOff>485775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Check Box 5">
              <controlPr defaultSize="0" autoFill="0" autoLine="0" autoPict="0">
                <anchor moveWithCells="1">
                  <from>
                    <xdr:col>3</xdr:col>
                    <xdr:colOff>438150</xdr:colOff>
                    <xdr:row>6</xdr:row>
                    <xdr:rowOff>47625</xdr:rowOff>
                  </from>
                  <to>
                    <xdr:col>4</xdr:col>
                    <xdr:colOff>104775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74FDD-940A-4BE3-BA1B-AFF59F9EA925}">
  <sheetPr codeName="Sheet11">
    <pageSetUpPr fitToPage="1"/>
  </sheetPr>
  <dimension ref="A6:L49"/>
  <sheetViews>
    <sheetView topLeftCell="A15" zoomScale="85" zoomScaleNormal="85" workbookViewId="0">
      <selection activeCell="C7" sqref="C7"/>
    </sheetView>
  </sheetViews>
  <sheetFormatPr defaultColWidth="11.42578125" defaultRowHeight="14.25" x14ac:dyDescent="0.2"/>
  <cols>
    <col min="1" max="1" width="12.85546875" style="98" customWidth="1"/>
    <col min="2" max="7" width="11.42578125" style="98"/>
    <col min="8" max="8" width="53.42578125" style="98" customWidth="1"/>
    <col min="9" max="16384" width="11.42578125" style="98"/>
  </cols>
  <sheetData>
    <row r="6" spans="1:8" ht="15" x14ac:dyDescent="0.25">
      <c r="A6" s="97" t="s">
        <v>172</v>
      </c>
      <c r="C6" s="228" t="str">
        <f>'pers. Daten'!O6</f>
        <v>Burke, André</v>
      </c>
      <c r="D6" s="228"/>
      <c r="E6" s="228"/>
      <c r="F6" s="228"/>
      <c r="G6" s="228"/>
    </row>
    <row r="7" spans="1:8" x14ac:dyDescent="0.2">
      <c r="C7" s="100"/>
    </row>
    <row r="8" spans="1:8" ht="15" x14ac:dyDescent="0.25">
      <c r="A8" s="97" t="s">
        <v>173</v>
      </c>
      <c r="C8" s="100" t="s">
        <v>174</v>
      </c>
      <c r="D8" s="98" t="s">
        <v>175</v>
      </c>
      <c r="E8" s="98" t="s">
        <v>176</v>
      </c>
      <c r="F8" s="98" t="s">
        <v>177</v>
      </c>
    </row>
    <row r="9" spans="1:8" ht="23.25" customHeight="1" x14ac:dyDescent="0.2">
      <c r="C9" s="100" t="s">
        <v>178</v>
      </c>
      <c r="E9" s="98" t="s">
        <v>179</v>
      </c>
    </row>
    <row r="10" spans="1:8" x14ac:dyDescent="0.2">
      <c r="C10" s="100"/>
    </row>
    <row r="11" spans="1:8" ht="15" x14ac:dyDescent="0.25">
      <c r="A11" s="97" t="s">
        <v>31</v>
      </c>
      <c r="C11" s="228" t="str">
        <f>'pers. Daten'!O1</f>
        <v>??</v>
      </c>
      <c r="D11" s="228"/>
      <c r="E11" s="228"/>
      <c r="F11" s="228"/>
      <c r="G11" s="228"/>
    </row>
    <row r="12" spans="1:8" x14ac:dyDescent="0.2">
      <c r="C12" s="100"/>
      <c r="H12" s="107"/>
    </row>
    <row r="13" spans="1:8" ht="15" x14ac:dyDescent="0.25">
      <c r="A13" s="97" t="s">
        <v>180</v>
      </c>
      <c r="C13" s="99">
        <f>MONTH(A17)</f>
        <v>3</v>
      </c>
      <c r="D13" s="108" t="str">
        <f>TEXT(DATE(1,C13,1),"MMMM")</f>
        <v>März</v>
      </c>
      <c r="E13" s="108"/>
      <c r="F13" s="108"/>
      <c r="G13" s="108"/>
    </row>
    <row r="16" spans="1:8" s="101" customFormat="1" ht="33" customHeight="1" x14ac:dyDescent="0.25">
      <c r="A16" s="115"/>
      <c r="B16" s="116" t="s">
        <v>181</v>
      </c>
      <c r="C16" s="116" t="s">
        <v>182</v>
      </c>
      <c r="D16" s="116" t="s">
        <v>185</v>
      </c>
      <c r="E16" s="116" t="s">
        <v>186</v>
      </c>
      <c r="F16" s="116" t="s">
        <v>183</v>
      </c>
      <c r="G16" s="116"/>
      <c r="H16" s="116" t="s">
        <v>184</v>
      </c>
    </row>
    <row r="17" spans="1:11" s="105" customFormat="1" ht="20.100000000000001" customHeight="1" x14ac:dyDescent="0.25">
      <c r="A17" s="117">
        <v>46082</v>
      </c>
      <c r="B17" s="103">
        <f>VLOOKUP($A17,Stunden!$D:$V,2,FALSE)</f>
        <v>0</v>
      </c>
      <c r="C17" s="103">
        <f>VLOOKUP($A17,Stunden!$D:$V,3,FALSE)</f>
        <v>0</v>
      </c>
      <c r="D17" s="103">
        <f>VLOOKUP($A17,Stunden!$D:$V,4,FALSE)</f>
        <v>0</v>
      </c>
      <c r="E17" s="103">
        <v>0.5</v>
      </c>
      <c r="F17" s="103">
        <f>E17+D17</f>
        <v>0.5</v>
      </c>
      <c r="G17" s="103"/>
      <c r="H17" s="103" t="str">
        <f>IF(VLOOKUP($A17,Stunden!$D:$V,17,FALSE)=0,"",VLOOKUP($A17,Stunden!$D:$V,17,FALSE))</f>
        <v/>
      </c>
      <c r="I17" s="104"/>
      <c r="J17" s="104"/>
      <c r="K17" s="121"/>
    </row>
    <row r="18" spans="1:11" s="105" customFormat="1" ht="20.100000000000001" customHeight="1" x14ac:dyDescent="0.25">
      <c r="A18" s="117">
        <f>A17+1</f>
        <v>46083</v>
      </c>
      <c r="B18" s="103">
        <f>VLOOKUP($A18,Stunden!$D:$V,2,FALSE)</f>
        <v>0.375</v>
      </c>
      <c r="C18" s="103">
        <f>VLOOKUP($A18,Stunden!$D:$V,3,FALSE)</f>
        <v>0.70833333333333337</v>
      </c>
      <c r="D18" s="103">
        <f>VLOOKUP($A18,Stunden!$D:$V,4,FALSE)</f>
        <v>2.0833333333333332E-2</v>
      </c>
      <c r="E18" s="103">
        <v>0.5</v>
      </c>
      <c r="F18" s="103">
        <f t="shared" ref="F18:F47" si="0">E18+D18</f>
        <v>0.52083333333333337</v>
      </c>
      <c r="G18" s="103"/>
      <c r="H18" s="103" t="str">
        <f>IF(VLOOKUP($A18,Stunden!$D:$V,17,FALSE)=0,"",VLOOKUP($A18,Stunden!$D:$V,17,FALSE))</f>
        <v/>
      </c>
      <c r="I18" s="104"/>
      <c r="J18" s="104"/>
      <c r="K18" s="121"/>
    </row>
    <row r="19" spans="1:11" s="105" customFormat="1" ht="20.100000000000001" customHeight="1" x14ac:dyDescent="0.25">
      <c r="A19" s="117">
        <f t="shared" ref="A19:A47" si="1">A18+1</f>
        <v>46084</v>
      </c>
      <c r="B19" s="103">
        <f>VLOOKUP($A19,Stunden!$D:$V,2,FALSE)</f>
        <v>0.34375</v>
      </c>
      <c r="C19" s="103">
        <f>VLOOKUP($A19,Stunden!$D:$V,3,FALSE)</f>
        <v>0.64583333333333337</v>
      </c>
      <c r="D19" s="103">
        <f>VLOOKUP($A19,Stunden!$D:$V,4,FALSE)</f>
        <v>2.0833333333333332E-2</v>
      </c>
      <c r="E19" s="103">
        <v>0.5</v>
      </c>
      <c r="F19" s="103">
        <f t="shared" si="0"/>
        <v>0.52083333333333337</v>
      </c>
      <c r="G19" s="103"/>
      <c r="H19" s="103" t="str">
        <f>IF(VLOOKUP($A19,Stunden!$D:$V,17,FALSE)=0,"",VLOOKUP($A19,Stunden!$D:$V,17,FALSE))</f>
        <v/>
      </c>
      <c r="I19" s="104"/>
      <c r="J19" s="104"/>
      <c r="K19" s="121"/>
    </row>
    <row r="20" spans="1:11" s="105" customFormat="1" ht="20.100000000000001" customHeight="1" x14ac:dyDescent="0.25">
      <c r="A20" s="117">
        <f t="shared" si="1"/>
        <v>46085</v>
      </c>
      <c r="B20" s="103">
        <f>VLOOKUP($A20,Stunden!$D:$V,2,FALSE)</f>
        <v>0.33333333333333331</v>
      </c>
      <c r="C20" s="103">
        <f>VLOOKUP($A20,Stunden!$D:$V,3,FALSE)</f>
        <v>0.78125</v>
      </c>
      <c r="D20" s="103">
        <f>VLOOKUP($A20,Stunden!$D:$V,4,FALSE)</f>
        <v>3.125E-2</v>
      </c>
      <c r="E20" s="103">
        <v>0.5</v>
      </c>
      <c r="F20" s="103">
        <f t="shared" si="0"/>
        <v>0.53125</v>
      </c>
      <c r="G20" s="103"/>
      <c r="H20" s="103" t="str">
        <f>IF(VLOOKUP($A20,Stunden!$D:$V,17,FALSE)=0,"",VLOOKUP($A20,Stunden!$D:$V,17,FALSE))</f>
        <v/>
      </c>
      <c r="I20" s="104"/>
      <c r="J20" s="104"/>
      <c r="K20" s="121"/>
    </row>
    <row r="21" spans="1:11" s="105" customFormat="1" ht="20.100000000000001" customHeight="1" x14ac:dyDescent="0.25">
      <c r="A21" s="117">
        <f t="shared" si="1"/>
        <v>46086</v>
      </c>
      <c r="B21" s="103">
        <f>VLOOKUP($A21,Stunden!$D:$V,2,FALSE)</f>
        <v>0.32291666666666669</v>
      </c>
      <c r="C21" s="103">
        <f>VLOOKUP($A21,Stunden!$D:$V,3,FALSE)</f>
        <v>0.72916666666666663</v>
      </c>
      <c r="D21" s="103">
        <f>VLOOKUP($A21,Stunden!$D:$V,4,FALSE)</f>
        <v>3.125E-2</v>
      </c>
      <c r="E21" s="103">
        <v>0.5</v>
      </c>
      <c r="F21" s="103">
        <f t="shared" si="0"/>
        <v>0.53125</v>
      </c>
      <c r="G21" s="103"/>
      <c r="H21" s="103" t="str">
        <f>IF(VLOOKUP($A21,Stunden!$D:$V,17,FALSE)=0,"",VLOOKUP($A21,Stunden!$D:$V,17,FALSE))</f>
        <v/>
      </c>
      <c r="I21" s="104"/>
      <c r="J21" s="104"/>
      <c r="K21" s="121"/>
    </row>
    <row r="22" spans="1:11" s="105" customFormat="1" ht="20.100000000000001" customHeight="1" x14ac:dyDescent="0.25">
      <c r="A22" s="117">
        <f t="shared" si="1"/>
        <v>46087</v>
      </c>
      <c r="B22" s="103">
        <f>VLOOKUP($A22,Stunden!$D:$V,2,FALSE)</f>
        <v>0.34375</v>
      </c>
      <c r="C22" s="103">
        <f>VLOOKUP($A22,Stunden!$D:$V,3,FALSE)</f>
        <v>0.625</v>
      </c>
      <c r="D22" s="103">
        <f>VLOOKUP($A22,Stunden!$D:$V,4,FALSE)</f>
        <v>2.0833333333333332E-2</v>
      </c>
      <c r="E22" s="103">
        <v>0.5</v>
      </c>
      <c r="F22" s="103">
        <f t="shared" si="0"/>
        <v>0.52083333333333337</v>
      </c>
      <c r="G22" s="103"/>
      <c r="H22" s="103" t="str">
        <f>IF(VLOOKUP($A22,Stunden!$D:$V,17,FALSE)=0,"",VLOOKUP($A22,Stunden!$D:$V,17,FALSE))</f>
        <v/>
      </c>
      <c r="J22" s="104"/>
      <c r="K22" s="121"/>
    </row>
    <row r="23" spans="1:11" s="105" customFormat="1" ht="20.100000000000001" customHeight="1" x14ac:dyDescent="0.25">
      <c r="A23" s="117">
        <f t="shared" si="1"/>
        <v>46088</v>
      </c>
      <c r="B23" s="103">
        <f>VLOOKUP($A23,Stunden!$D:$V,2,FALSE)</f>
        <v>0</v>
      </c>
      <c r="C23" s="103">
        <f>VLOOKUP($A23,Stunden!$D:$V,3,FALSE)</f>
        <v>0</v>
      </c>
      <c r="D23" s="103">
        <f>VLOOKUP($A23,Stunden!$D:$V,4,FALSE)</f>
        <v>0</v>
      </c>
      <c r="E23" s="103">
        <v>0.5</v>
      </c>
      <c r="F23" s="103">
        <f t="shared" si="0"/>
        <v>0.5</v>
      </c>
      <c r="G23" s="103"/>
      <c r="H23" s="103" t="str">
        <f>IF(VLOOKUP($A23,Stunden!$D:$V,17,FALSE)=0,"",VLOOKUP($A23,Stunden!$D:$V,17,FALSE))</f>
        <v/>
      </c>
      <c r="J23" s="104"/>
      <c r="K23" s="121"/>
    </row>
    <row r="24" spans="1:11" s="105" customFormat="1" ht="20.100000000000001" customHeight="1" x14ac:dyDescent="0.25">
      <c r="A24" s="117">
        <f t="shared" si="1"/>
        <v>46089</v>
      </c>
      <c r="B24" s="103">
        <f>VLOOKUP($A24,Stunden!$D:$V,2,FALSE)</f>
        <v>0</v>
      </c>
      <c r="C24" s="103">
        <f>VLOOKUP($A24,Stunden!$D:$V,3,FALSE)</f>
        <v>0</v>
      </c>
      <c r="D24" s="103">
        <f>VLOOKUP($A24,Stunden!$D:$V,4,FALSE)</f>
        <v>0</v>
      </c>
      <c r="E24" s="103">
        <v>0.5</v>
      </c>
      <c r="F24" s="103">
        <f t="shared" si="0"/>
        <v>0.5</v>
      </c>
      <c r="G24" s="103"/>
      <c r="H24" s="103" t="str">
        <f>IF(VLOOKUP($A24,Stunden!$D:$V,17,FALSE)=0,"",VLOOKUP($A24,Stunden!$D:$V,17,FALSE))</f>
        <v/>
      </c>
      <c r="J24" s="104"/>
      <c r="K24" s="121"/>
    </row>
    <row r="25" spans="1:11" s="105" customFormat="1" ht="20.100000000000001" customHeight="1" x14ac:dyDescent="0.25">
      <c r="A25" s="117">
        <f t="shared" si="1"/>
        <v>46090</v>
      </c>
      <c r="B25" s="103">
        <f>VLOOKUP($A25,Stunden!$D:$V,2,FALSE)</f>
        <v>0.36458333333333331</v>
      </c>
      <c r="C25" s="103">
        <f>VLOOKUP($A25,Stunden!$D:$V,3,FALSE)</f>
        <v>0.8125</v>
      </c>
      <c r="D25" s="103">
        <f>VLOOKUP($A25,Stunden!$D:$V,4,FALSE)</f>
        <v>3.125E-2</v>
      </c>
      <c r="E25" s="103">
        <v>0.5</v>
      </c>
      <c r="F25" s="103">
        <f t="shared" si="0"/>
        <v>0.53125</v>
      </c>
      <c r="G25" s="103"/>
      <c r="H25" s="103" t="str">
        <f>IF(VLOOKUP($A25,Stunden!$D:$V,17,FALSE)=0,"",VLOOKUP($A25,Stunden!$D:$V,17,FALSE))</f>
        <v/>
      </c>
      <c r="J25" s="104"/>
      <c r="K25" s="121"/>
    </row>
    <row r="26" spans="1:11" s="105" customFormat="1" ht="20.100000000000001" customHeight="1" x14ac:dyDescent="0.25">
      <c r="A26" s="117">
        <f t="shared" si="1"/>
        <v>46091</v>
      </c>
      <c r="B26" s="103">
        <f>VLOOKUP($A26,Stunden!$D:$V,2,FALSE)</f>
        <v>0.35416666666666669</v>
      </c>
      <c r="C26" s="103">
        <f>VLOOKUP($A26,Stunden!$D:$V,3,FALSE)</f>
        <v>0.79166666666666663</v>
      </c>
      <c r="D26" s="103">
        <f>VLOOKUP($A26,Stunden!$D:$V,4,FALSE)</f>
        <v>3.125E-2</v>
      </c>
      <c r="E26" s="103">
        <v>0.5</v>
      </c>
      <c r="F26" s="103">
        <f t="shared" si="0"/>
        <v>0.53125</v>
      </c>
      <c r="G26" s="103"/>
      <c r="H26" s="103" t="str">
        <f>IF(VLOOKUP($A26,Stunden!$D:$V,17,FALSE)=0,"",VLOOKUP($A26,Stunden!$D:$V,17,FALSE))</f>
        <v/>
      </c>
      <c r="J26" s="104"/>
      <c r="K26" s="121"/>
    </row>
    <row r="27" spans="1:11" s="105" customFormat="1" x14ac:dyDescent="0.25">
      <c r="A27" s="117">
        <f t="shared" si="1"/>
        <v>46092</v>
      </c>
      <c r="B27" s="103">
        <f>VLOOKUP($A27,Stunden!$D:$V,2,FALSE)</f>
        <v>0.34375</v>
      </c>
      <c r="C27" s="103">
        <f>VLOOKUP($A27,Stunden!$D:$V,3,FALSE)</f>
        <v>0.77083333333333337</v>
      </c>
      <c r="D27" s="103">
        <f>VLOOKUP($A27,Stunden!$D:$V,4,FALSE)</f>
        <v>3.125E-2</v>
      </c>
      <c r="E27" s="103">
        <v>0.5</v>
      </c>
      <c r="F27" s="103">
        <f t="shared" si="0"/>
        <v>0.53125</v>
      </c>
      <c r="G27" s="103"/>
      <c r="H27" s="103" t="str">
        <f>IF(VLOOKUP($A27,Stunden!$D:$V,17,FALSE)=0,"",VLOOKUP($A27,Stunden!$D:$V,17,FALSE))</f>
        <v/>
      </c>
      <c r="J27" s="104"/>
      <c r="K27" s="121"/>
    </row>
    <row r="28" spans="1:11" s="105" customFormat="1" ht="20.100000000000001" customHeight="1" x14ac:dyDescent="0.25">
      <c r="A28" s="117">
        <f t="shared" si="1"/>
        <v>46093</v>
      </c>
      <c r="B28" s="103">
        <f>VLOOKUP($A28,Stunden!$D:$V,2,FALSE)</f>
        <v>0.34375</v>
      </c>
      <c r="C28" s="103">
        <f>VLOOKUP($A28,Stunden!$D:$V,3,FALSE)</f>
        <v>0.67708333333333337</v>
      </c>
      <c r="D28" s="103">
        <f>VLOOKUP($A28,Stunden!$D:$V,4,FALSE)</f>
        <v>2.0833333333333332E-2</v>
      </c>
      <c r="E28" s="103">
        <v>0.5</v>
      </c>
      <c r="F28" s="103">
        <f t="shared" si="0"/>
        <v>0.52083333333333337</v>
      </c>
      <c r="G28" s="103"/>
      <c r="H28" s="103" t="str">
        <f>IF(VLOOKUP($A28,Stunden!$D:$V,17,FALSE)=0,"",VLOOKUP($A28,Stunden!$D:$V,17,FALSE))</f>
        <v/>
      </c>
      <c r="J28" s="104"/>
      <c r="K28" s="121"/>
    </row>
    <row r="29" spans="1:11" s="105" customFormat="1" ht="20.100000000000001" customHeight="1" x14ac:dyDescent="0.25">
      <c r="A29" s="117">
        <f t="shared" si="1"/>
        <v>46094</v>
      </c>
      <c r="B29" s="103">
        <f>VLOOKUP($A29,Stunden!$D:$V,2,FALSE)</f>
        <v>0.30208333333333331</v>
      </c>
      <c r="C29" s="103">
        <f>VLOOKUP($A29,Stunden!$D:$V,3,FALSE)</f>
        <v>0.53125</v>
      </c>
      <c r="D29" s="103">
        <f>VLOOKUP($A29,Stunden!$D:$V,4,FALSE)</f>
        <v>0</v>
      </c>
      <c r="E29" s="103">
        <v>0.5</v>
      </c>
      <c r="F29" s="103">
        <f t="shared" si="0"/>
        <v>0.5</v>
      </c>
      <c r="G29" s="103"/>
      <c r="H29" s="103" t="str">
        <f>IF(VLOOKUP($A29,Stunden!$D:$V,17,FALSE)=0,"",VLOOKUP($A29,Stunden!$D:$V,17,FALSE))</f>
        <v/>
      </c>
      <c r="J29" s="104"/>
      <c r="K29" s="121"/>
    </row>
    <row r="30" spans="1:11" s="105" customFormat="1" ht="20.100000000000001" customHeight="1" x14ac:dyDescent="0.25">
      <c r="A30" s="117">
        <f t="shared" si="1"/>
        <v>46095</v>
      </c>
      <c r="B30" s="103">
        <f>VLOOKUP($A30,Stunden!$D:$V,2,FALSE)</f>
        <v>0</v>
      </c>
      <c r="C30" s="103">
        <f>VLOOKUP($A30,Stunden!$D:$V,3,FALSE)</f>
        <v>0</v>
      </c>
      <c r="D30" s="103">
        <f>VLOOKUP($A30,Stunden!$D:$V,4,FALSE)</f>
        <v>0</v>
      </c>
      <c r="E30" s="103">
        <v>0.5</v>
      </c>
      <c r="F30" s="103">
        <f t="shared" si="0"/>
        <v>0.5</v>
      </c>
      <c r="G30" s="103"/>
      <c r="H30" s="103" t="str">
        <f>IF(VLOOKUP($A30,Stunden!$D:$V,17,FALSE)=0,"",VLOOKUP($A30,Stunden!$D:$V,17,FALSE))</f>
        <v/>
      </c>
      <c r="J30" s="104"/>
      <c r="K30" s="121"/>
    </row>
    <row r="31" spans="1:11" s="105" customFormat="1" ht="20.100000000000001" customHeight="1" x14ac:dyDescent="0.25">
      <c r="A31" s="117">
        <f t="shared" si="1"/>
        <v>46096</v>
      </c>
      <c r="B31" s="103">
        <f>VLOOKUP($A31,Stunden!$D:$V,2,FALSE)</f>
        <v>0</v>
      </c>
      <c r="C31" s="103">
        <f>VLOOKUP($A31,Stunden!$D:$V,3,FALSE)</f>
        <v>0</v>
      </c>
      <c r="D31" s="103">
        <f>VLOOKUP($A31,Stunden!$D:$V,4,FALSE)</f>
        <v>0</v>
      </c>
      <c r="E31" s="103">
        <v>0.5</v>
      </c>
      <c r="F31" s="103">
        <f t="shared" si="0"/>
        <v>0.5</v>
      </c>
      <c r="G31" s="103"/>
      <c r="H31" s="103" t="str">
        <f>IF(VLOOKUP($A31,Stunden!$D:$V,17,FALSE)=0,"",VLOOKUP($A31,Stunden!$D:$V,17,FALSE))</f>
        <v/>
      </c>
      <c r="J31" s="104"/>
      <c r="K31" s="121"/>
    </row>
    <row r="32" spans="1:11" s="105" customFormat="1" ht="20.100000000000001" customHeight="1" x14ac:dyDescent="0.25">
      <c r="A32" s="117">
        <f t="shared" si="1"/>
        <v>46097</v>
      </c>
      <c r="B32" s="103">
        <f>VLOOKUP($A32,Stunden!$D:$V,2,FALSE)</f>
        <v>0</v>
      </c>
      <c r="C32" s="103">
        <f>VLOOKUP($A32,Stunden!$D:$V,3,FALSE)</f>
        <v>0</v>
      </c>
      <c r="D32" s="103">
        <f>VLOOKUP($A32,Stunden!$D:$V,4,FALSE)</f>
        <v>0</v>
      </c>
      <c r="E32" s="103">
        <v>0.5</v>
      </c>
      <c r="F32" s="103">
        <f t="shared" si="0"/>
        <v>0.5</v>
      </c>
      <c r="G32" s="103"/>
      <c r="H32" s="103" t="str">
        <f>IF(VLOOKUP($A32,Stunden!$D:$V,17,FALSE)=0,"",VLOOKUP($A32,Stunden!$D:$V,17,FALSE))</f>
        <v/>
      </c>
      <c r="J32" s="104"/>
      <c r="K32" s="121"/>
    </row>
    <row r="33" spans="1:11" s="105" customFormat="1" ht="20.100000000000001" customHeight="1" x14ac:dyDescent="0.25">
      <c r="A33" s="117">
        <f t="shared" si="1"/>
        <v>46098</v>
      </c>
      <c r="B33" s="103">
        <f>VLOOKUP($A33,Stunden!$D:$V,2,FALSE)</f>
        <v>0.34375</v>
      </c>
      <c r="C33" s="103">
        <f>VLOOKUP($A33,Stunden!$D:$V,3,FALSE)</f>
        <v>0.77083333333333337</v>
      </c>
      <c r="D33" s="103">
        <f>VLOOKUP($A33,Stunden!$D:$V,4,FALSE)</f>
        <v>3.125E-2</v>
      </c>
      <c r="E33" s="103">
        <v>0.5</v>
      </c>
      <c r="F33" s="103">
        <f t="shared" si="0"/>
        <v>0.53125</v>
      </c>
      <c r="G33" s="103"/>
      <c r="H33" s="103" t="str">
        <f>IF(VLOOKUP($A33,Stunden!$D:$V,17,FALSE)=0,"",VLOOKUP($A33,Stunden!$D:$V,17,FALSE))</f>
        <v/>
      </c>
      <c r="J33" s="104"/>
      <c r="K33" s="121"/>
    </row>
    <row r="34" spans="1:11" s="105" customFormat="1" ht="20.100000000000001" customHeight="1" x14ac:dyDescent="0.25">
      <c r="A34" s="117">
        <f t="shared" si="1"/>
        <v>46099</v>
      </c>
      <c r="B34" s="103">
        <f>VLOOKUP($A34,Stunden!$D:$V,2,FALSE)</f>
        <v>0.32291666666666669</v>
      </c>
      <c r="C34" s="103">
        <f>VLOOKUP($A34,Stunden!$D:$V,3,FALSE)</f>
        <v>0.67708333333333337</v>
      </c>
      <c r="D34" s="103">
        <f>VLOOKUP($A34,Stunden!$D:$V,4,FALSE)</f>
        <v>2.0833333333333332E-2</v>
      </c>
      <c r="E34" s="103">
        <v>0.5</v>
      </c>
      <c r="F34" s="103">
        <f t="shared" si="0"/>
        <v>0.52083333333333337</v>
      </c>
      <c r="G34" s="103"/>
      <c r="H34" s="103" t="str">
        <f>IF(VLOOKUP($A34,Stunden!$D:$V,17,FALSE)=0,"",VLOOKUP($A34,Stunden!$D:$V,17,FALSE))</f>
        <v/>
      </c>
      <c r="J34" s="104"/>
      <c r="K34" s="121"/>
    </row>
    <row r="35" spans="1:11" s="105" customFormat="1" ht="20.100000000000001" customHeight="1" x14ac:dyDescent="0.25">
      <c r="A35" s="117">
        <f t="shared" si="1"/>
        <v>46100</v>
      </c>
      <c r="B35" s="103">
        <f>VLOOKUP($A35,Stunden!$D:$V,2,FALSE)</f>
        <v>0.34375</v>
      </c>
      <c r="C35" s="103">
        <f>VLOOKUP($A35,Stunden!$D:$V,3,FALSE)</f>
        <v>0.70833333333333337</v>
      </c>
      <c r="D35" s="103">
        <f>VLOOKUP($A35,Stunden!$D:$V,4,FALSE)</f>
        <v>2.0833333333333332E-2</v>
      </c>
      <c r="E35" s="103">
        <v>0.5</v>
      </c>
      <c r="F35" s="103">
        <f t="shared" si="0"/>
        <v>0.52083333333333337</v>
      </c>
      <c r="G35" s="103"/>
      <c r="H35" s="103" t="str">
        <f>IF(VLOOKUP($A35,Stunden!$D:$V,17,FALSE)=0,"",VLOOKUP($A35,Stunden!$D:$V,17,FALSE))</f>
        <v/>
      </c>
      <c r="J35" s="104"/>
      <c r="K35" s="121"/>
    </row>
    <row r="36" spans="1:11" s="105" customFormat="1" ht="20.100000000000001" customHeight="1" x14ac:dyDescent="0.25">
      <c r="A36" s="117">
        <f t="shared" si="1"/>
        <v>46101</v>
      </c>
      <c r="B36" s="103">
        <f>VLOOKUP($A36,Stunden!$D:$V,2,FALSE)</f>
        <v>0.33333333333333331</v>
      </c>
      <c r="C36" s="103">
        <f>VLOOKUP($A36,Stunden!$D:$V,3,FALSE)</f>
        <v>0.58333333333333337</v>
      </c>
      <c r="D36" s="103">
        <f>VLOOKUP($A36,Stunden!$D:$V,4,FALSE)</f>
        <v>0</v>
      </c>
      <c r="E36" s="103">
        <v>0.5</v>
      </c>
      <c r="F36" s="103">
        <f t="shared" si="0"/>
        <v>0.5</v>
      </c>
      <c r="G36" s="103"/>
      <c r="H36" s="103" t="str">
        <f>IF(VLOOKUP($A36,Stunden!$D:$V,17,FALSE)=0,"",VLOOKUP($A36,Stunden!$D:$V,17,FALSE))</f>
        <v/>
      </c>
      <c r="J36" s="104"/>
      <c r="K36" s="121"/>
    </row>
    <row r="37" spans="1:11" s="105" customFormat="1" ht="20.100000000000001" customHeight="1" x14ac:dyDescent="0.25">
      <c r="A37" s="117">
        <f t="shared" si="1"/>
        <v>46102</v>
      </c>
      <c r="B37" s="103">
        <f>VLOOKUP($A37,Stunden!$D:$V,2,FALSE)</f>
        <v>0</v>
      </c>
      <c r="C37" s="103">
        <f>VLOOKUP($A37,Stunden!$D:$V,3,FALSE)</f>
        <v>0</v>
      </c>
      <c r="D37" s="103">
        <f>VLOOKUP($A37,Stunden!$D:$V,4,FALSE)</f>
        <v>0</v>
      </c>
      <c r="E37" s="103">
        <v>0.5</v>
      </c>
      <c r="F37" s="103">
        <f t="shared" si="0"/>
        <v>0.5</v>
      </c>
      <c r="G37" s="103"/>
      <c r="H37" s="103" t="str">
        <f>IF(VLOOKUP($A37,Stunden!$D:$V,17,FALSE)=0,"",VLOOKUP($A37,Stunden!$D:$V,17,FALSE))</f>
        <v/>
      </c>
      <c r="J37" s="104"/>
      <c r="K37" s="121"/>
    </row>
    <row r="38" spans="1:11" s="105" customFormat="1" ht="20.100000000000001" customHeight="1" x14ac:dyDescent="0.25">
      <c r="A38" s="117">
        <f t="shared" si="1"/>
        <v>46103</v>
      </c>
      <c r="B38" s="103">
        <f>VLOOKUP($A38,Stunden!$D:$V,2,FALSE)</f>
        <v>0</v>
      </c>
      <c r="C38" s="103">
        <f>VLOOKUP($A38,Stunden!$D:$V,3,FALSE)</f>
        <v>0</v>
      </c>
      <c r="D38" s="103">
        <f>VLOOKUP($A38,Stunden!$D:$V,4,FALSE)</f>
        <v>0</v>
      </c>
      <c r="E38" s="103">
        <v>0.5</v>
      </c>
      <c r="F38" s="103">
        <f t="shared" si="0"/>
        <v>0.5</v>
      </c>
      <c r="G38" s="103"/>
      <c r="H38" s="103" t="str">
        <f>IF(VLOOKUP($A38,Stunden!$D:$V,17,FALSE)=0,"",VLOOKUP($A38,Stunden!$D:$V,17,FALSE))</f>
        <v/>
      </c>
      <c r="J38" s="104"/>
      <c r="K38" s="121"/>
    </row>
    <row r="39" spans="1:11" s="105" customFormat="1" ht="20.100000000000001" customHeight="1" x14ac:dyDescent="0.25">
      <c r="A39" s="117">
        <f t="shared" si="1"/>
        <v>46104</v>
      </c>
      <c r="B39" s="103">
        <f>VLOOKUP($A39,Stunden!$D:$V,2,FALSE)</f>
        <v>0.34375</v>
      </c>
      <c r="C39" s="103">
        <f>VLOOKUP($A39,Stunden!$D:$V,3,FALSE)</f>
        <v>0.73958333333333337</v>
      </c>
      <c r="D39" s="103">
        <f>VLOOKUP($A39,Stunden!$D:$V,4,FALSE)</f>
        <v>2.0833333333333332E-2</v>
      </c>
      <c r="E39" s="103">
        <v>0.5</v>
      </c>
      <c r="F39" s="103">
        <f t="shared" si="0"/>
        <v>0.52083333333333337</v>
      </c>
      <c r="G39" s="103"/>
      <c r="H39" s="103" t="str">
        <f>IF(VLOOKUP($A39,Stunden!$D:$V,17,FALSE)=0,"",VLOOKUP($A39,Stunden!$D:$V,17,FALSE))</f>
        <v/>
      </c>
      <c r="J39" s="104"/>
      <c r="K39" s="121"/>
    </row>
    <row r="40" spans="1:11" s="105" customFormat="1" ht="20.100000000000001" customHeight="1" x14ac:dyDescent="0.25">
      <c r="A40" s="117">
        <f t="shared" si="1"/>
        <v>46105</v>
      </c>
      <c r="B40" s="103">
        <f>VLOOKUP($A40,Stunden!$D:$V,2,FALSE)</f>
        <v>0.3125</v>
      </c>
      <c r="C40" s="103">
        <f>VLOOKUP($A40,Stunden!$D:$V,3,FALSE)</f>
        <v>0.71875</v>
      </c>
      <c r="D40" s="103">
        <f>VLOOKUP($A40,Stunden!$D:$V,4,FALSE)</f>
        <v>3.125E-2</v>
      </c>
      <c r="E40" s="103">
        <v>0.5</v>
      </c>
      <c r="F40" s="103">
        <f t="shared" si="0"/>
        <v>0.53125</v>
      </c>
      <c r="G40" s="103"/>
      <c r="H40" s="103" t="str">
        <f>IF(VLOOKUP($A40,Stunden!$D:$V,17,FALSE)=0,"",VLOOKUP($A40,Stunden!$D:$V,17,FALSE))</f>
        <v/>
      </c>
      <c r="J40" s="104"/>
      <c r="K40" s="121"/>
    </row>
    <row r="41" spans="1:11" s="105" customFormat="1" ht="20.100000000000001" customHeight="1" x14ac:dyDescent="0.25">
      <c r="A41" s="117">
        <f t="shared" si="1"/>
        <v>46106</v>
      </c>
      <c r="B41" s="103">
        <f>VLOOKUP($A41,Stunden!$D:$V,2,FALSE)</f>
        <v>0.3125</v>
      </c>
      <c r="C41" s="103">
        <f>VLOOKUP($A41,Stunden!$D:$V,3,FALSE)</f>
        <v>0.69791666666666663</v>
      </c>
      <c r="D41" s="103">
        <f>VLOOKUP($A41,Stunden!$D:$V,4,FALSE)</f>
        <v>2.0833333333333332E-2</v>
      </c>
      <c r="E41" s="103">
        <v>0.5</v>
      </c>
      <c r="F41" s="103">
        <f t="shared" si="0"/>
        <v>0.52083333333333337</v>
      </c>
      <c r="G41" s="103"/>
      <c r="H41" s="103" t="str">
        <f>IF(VLOOKUP($A41,Stunden!$D:$V,17,FALSE)=0,"",VLOOKUP($A41,Stunden!$D:$V,17,FALSE))</f>
        <v/>
      </c>
      <c r="J41" s="104"/>
      <c r="K41" s="121"/>
    </row>
    <row r="42" spans="1:11" s="105" customFormat="1" ht="20.100000000000001" customHeight="1" x14ac:dyDescent="0.25">
      <c r="A42" s="117">
        <f t="shared" si="1"/>
        <v>46107</v>
      </c>
      <c r="B42" s="103">
        <f>VLOOKUP($A42,Stunden!$D:$V,2,FALSE)</f>
        <v>0.3125</v>
      </c>
      <c r="C42" s="103">
        <f>VLOOKUP($A42,Stunden!$D:$V,3,FALSE)</f>
        <v>0.6875</v>
      </c>
      <c r="D42" s="103">
        <f>VLOOKUP($A42,Stunden!$D:$V,4,FALSE)</f>
        <v>2.0833333333333332E-2</v>
      </c>
      <c r="E42" s="103">
        <v>0.5</v>
      </c>
      <c r="F42" s="103">
        <f t="shared" si="0"/>
        <v>0.52083333333333337</v>
      </c>
      <c r="G42" s="103"/>
      <c r="H42" s="103" t="str">
        <f>IF(VLOOKUP($A42,Stunden!$D:$V,17,FALSE)=0,"",VLOOKUP($A42,Stunden!$D:$V,17,FALSE))</f>
        <v/>
      </c>
      <c r="J42" s="104"/>
      <c r="K42" s="121"/>
    </row>
    <row r="43" spans="1:11" s="105" customFormat="1" ht="20.100000000000001" customHeight="1" x14ac:dyDescent="0.25">
      <c r="A43" s="117">
        <f t="shared" si="1"/>
        <v>46108</v>
      </c>
      <c r="B43" s="103">
        <f>VLOOKUP($A43,Stunden!$D:$V,2,FALSE)</f>
        <v>0.26041666666666669</v>
      </c>
      <c r="C43" s="103">
        <f>VLOOKUP($A43,Stunden!$D:$V,3,FALSE)</f>
        <v>0.51041666666666663</v>
      </c>
      <c r="D43" s="103">
        <f>VLOOKUP($A43,Stunden!$D:$V,4,FALSE)</f>
        <v>0</v>
      </c>
      <c r="E43" s="103">
        <v>0.5</v>
      </c>
      <c r="F43" s="103">
        <f t="shared" si="0"/>
        <v>0.5</v>
      </c>
      <c r="G43" s="103"/>
      <c r="H43" s="103" t="str">
        <f>IF(VLOOKUP($A43,Stunden!$D:$V,17,FALSE)=0,"",VLOOKUP($A43,Stunden!$D:$V,17,FALSE))</f>
        <v/>
      </c>
      <c r="J43" s="104"/>
      <c r="K43" s="121"/>
    </row>
    <row r="44" spans="1:11" s="105" customFormat="1" ht="20.100000000000001" customHeight="1" x14ac:dyDescent="0.25">
      <c r="A44" s="117">
        <f t="shared" si="1"/>
        <v>46109</v>
      </c>
      <c r="B44" s="103">
        <f>VLOOKUP($A44,Stunden!$D:$V,2,FALSE)</f>
        <v>0</v>
      </c>
      <c r="C44" s="103">
        <f>VLOOKUP($A44,Stunden!$D:$V,3,FALSE)</f>
        <v>0</v>
      </c>
      <c r="D44" s="103">
        <f>VLOOKUP($A44,Stunden!$D:$V,4,FALSE)</f>
        <v>0</v>
      </c>
      <c r="E44" s="103">
        <v>0.5</v>
      </c>
      <c r="F44" s="103">
        <f t="shared" si="0"/>
        <v>0.5</v>
      </c>
      <c r="G44" s="103"/>
      <c r="H44" s="103" t="str">
        <f>IF(VLOOKUP($A44,Stunden!$D:$V,17,FALSE)=0,"",VLOOKUP($A44,Stunden!$D:$V,17,FALSE))</f>
        <v/>
      </c>
      <c r="J44" s="104"/>
      <c r="K44" s="121"/>
    </row>
    <row r="45" spans="1:11" s="105" customFormat="1" ht="20.100000000000001" customHeight="1" x14ac:dyDescent="0.25">
      <c r="A45" s="117">
        <f t="shared" si="1"/>
        <v>46110</v>
      </c>
      <c r="B45" s="103">
        <f>VLOOKUP($A45,Stunden!$D:$V,2,FALSE)</f>
        <v>0</v>
      </c>
      <c r="C45" s="103">
        <f>VLOOKUP($A45,Stunden!$D:$V,3,FALSE)</f>
        <v>0</v>
      </c>
      <c r="D45" s="103">
        <f>VLOOKUP($A45,Stunden!$D:$V,4,FALSE)</f>
        <v>0</v>
      </c>
      <c r="E45" s="103">
        <v>0.5</v>
      </c>
      <c r="F45" s="103">
        <f t="shared" si="0"/>
        <v>0.5</v>
      </c>
      <c r="G45" s="103"/>
      <c r="H45" s="103" t="str">
        <f>IF(VLOOKUP($A45,Stunden!$D:$V,17,FALSE)=0,"",VLOOKUP($A45,Stunden!$D:$V,17,FALSE))</f>
        <v/>
      </c>
      <c r="J45" s="104"/>
      <c r="K45" s="121"/>
    </row>
    <row r="46" spans="1:11" s="105" customFormat="1" ht="20.100000000000001" customHeight="1" x14ac:dyDescent="0.25">
      <c r="A46" s="117">
        <f t="shared" si="1"/>
        <v>46111</v>
      </c>
      <c r="B46" s="103">
        <f>VLOOKUP($A46,Stunden!$D:$V,2,FALSE)</f>
        <v>0</v>
      </c>
      <c r="C46" s="103">
        <f>VLOOKUP($A46,Stunden!$D:$V,3,FALSE)</f>
        <v>0</v>
      </c>
      <c r="D46" s="103">
        <f>VLOOKUP($A46,Stunden!$D:$V,4,FALSE)</f>
        <v>0</v>
      </c>
      <c r="E46" s="103">
        <v>0.5</v>
      </c>
      <c r="F46" s="103">
        <f t="shared" si="0"/>
        <v>0.5</v>
      </c>
      <c r="G46" s="103"/>
      <c r="H46" s="103" t="str">
        <f>IF(VLOOKUP($A46,Stunden!$D:$V,17,FALSE)=0,"",VLOOKUP($A46,Stunden!$D:$V,17,FALSE))</f>
        <v/>
      </c>
      <c r="J46" s="104"/>
      <c r="K46" s="121"/>
    </row>
    <row r="47" spans="1:11" s="105" customFormat="1" ht="20.100000000000001" customHeight="1" x14ac:dyDescent="0.25">
      <c r="A47" s="117">
        <f t="shared" si="1"/>
        <v>46112</v>
      </c>
      <c r="B47" s="103">
        <f>VLOOKUP($A47,Stunden!$D:$V,2,FALSE)</f>
        <v>0</v>
      </c>
      <c r="C47" s="103">
        <f>VLOOKUP($A47,Stunden!$D:$V,3,FALSE)</f>
        <v>0</v>
      </c>
      <c r="D47" s="103">
        <f>VLOOKUP($A47,Stunden!$D:$V,4,FALSE)</f>
        <v>0</v>
      </c>
      <c r="E47" s="103">
        <v>0.5</v>
      </c>
      <c r="F47" s="103">
        <f t="shared" si="0"/>
        <v>0.5</v>
      </c>
      <c r="G47" s="103"/>
      <c r="H47" s="103" t="str">
        <f>IF(VLOOKUP($A47,Stunden!$D:$V,17,FALSE)=0,"",VLOOKUP($A47,Stunden!$D:$V,17,FALSE))</f>
        <v/>
      </c>
      <c r="J47" s="104"/>
      <c r="K47" s="121"/>
    </row>
    <row r="49" spans="10:12" x14ac:dyDescent="0.2">
      <c r="J49" s="119"/>
      <c r="K49" s="122"/>
      <c r="L49" s="119"/>
    </row>
  </sheetData>
  <mergeCells count="2">
    <mergeCell ref="C6:G6"/>
    <mergeCell ref="C11:G11"/>
  </mergeCells>
  <pageMargins left="0.70866141732283472" right="0.31496062992125984" top="0.39370078740157483" bottom="0.39370078740157483" header="0.31496062992125984" footer="0.31496062992125984"/>
  <pageSetup paperSize="9" scale="68" orientation="portrait" r:id="rId1"/>
  <headerFooter>
    <oddFooter>&amp;C_x000D_&amp;1#&amp;"Arial"&amp;8&amp;K869197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2</xdr:col>
                    <xdr:colOff>447675</xdr:colOff>
                    <xdr:row>6</xdr:row>
                    <xdr:rowOff>142875</xdr:rowOff>
                  </from>
                  <to>
                    <xdr:col>2</xdr:col>
                    <xdr:colOff>752475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476250</xdr:colOff>
                    <xdr:row>6</xdr:row>
                    <xdr:rowOff>38100</xdr:rowOff>
                  </from>
                  <to>
                    <xdr:col>5</xdr:col>
                    <xdr:colOff>142875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752475</xdr:colOff>
                    <xdr:row>7</xdr:row>
                    <xdr:rowOff>152400</xdr:rowOff>
                  </from>
                  <to>
                    <xdr:col>5</xdr:col>
                    <xdr:colOff>419100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3</xdr:col>
                    <xdr:colOff>47625</xdr:colOff>
                    <xdr:row>7</xdr:row>
                    <xdr:rowOff>152400</xdr:rowOff>
                  </from>
                  <to>
                    <xdr:col>3</xdr:col>
                    <xdr:colOff>485775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3</xdr:col>
                    <xdr:colOff>438150</xdr:colOff>
                    <xdr:row>6</xdr:row>
                    <xdr:rowOff>47625</xdr:rowOff>
                  </from>
                  <to>
                    <xdr:col>4</xdr:col>
                    <xdr:colOff>104775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536F5-7FC0-4220-8DEC-44CD76A9DAAC}">
  <sheetPr codeName="Sheet13">
    <pageSetUpPr fitToPage="1"/>
  </sheetPr>
  <dimension ref="A6:J49"/>
  <sheetViews>
    <sheetView topLeftCell="A14" zoomScale="85" zoomScaleNormal="85" workbookViewId="0">
      <selection activeCell="C7" sqref="C7"/>
    </sheetView>
  </sheetViews>
  <sheetFormatPr defaultColWidth="11.42578125" defaultRowHeight="14.25" x14ac:dyDescent="0.2"/>
  <cols>
    <col min="1" max="1" width="12.85546875" style="98" customWidth="1"/>
    <col min="2" max="7" width="11.42578125" style="98"/>
    <col min="8" max="8" width="53.42578125" style="98" customWidth="1"/>
    <col min="9" max="16384" width="11.42578125" style="98"/>
  </cols>
  <sheetData>
    <row r="6" spans="1:8" ht="15" x14ac:dyDescent="0.25">
      <c r="A6" s="97" t="s">
        <v>172</v>
      </c>
      <c r="C6" s="228" t="str">
        <f>'pers. Daten'!O6</f>
        <v>Burke, André</v>
      </c>
      <c r="D6" s="228"/>
      <c r="E6" s="228"/>
      <c r="F6" s="228"/>
      <c r="G6" s="228"/>
    </row>
    <row r="7" spans="1:8" x14ac:dyDescent="0.2">
      <c r="C7" s="100"/>
    </row>
    <row r="8" spans="1:8" ht="15" x14ac:dyDescent="0.25">
      <c r="A8" s="97" t="s">
        <v>173</v>
      </c>
      <c r="C8" s="100" t="s">
        <v>174</v>
      </c>
      <c r="D8" s="98" t="s">
        <v>175</v>
      </c>
      <c r="E8" s="98" t="s">
        <v>176</v>
      </c>
      <c r="F8" s="98" t="s">
        <v>177</v>
      </c>
    </row>
    <row r="9" spans="1:8" ht="23.25" customHeight="1" x14ac:dyDescent="0.2">
      <c r="C9" s="100" t="s">
        <v>178</v>
      </c>
      <c r="E9" s="98" t="s">
        <v>179</v>
      </c>
    </row>
    <row r="10" spans="1:8" x14ac:dyDescent="0.2">
      <c r="C10" s="100"/>
    </row>
    <row r="11" spans="1:8" ht="15" x14ac:dyDescent="0.25">
      <c r="A11" s="97" t="s">
        <v>31</v>
      </c>
      <c r="C11" s="228" t="str">
        <f>'pers. Daten'!O1</f>
        <v>??</v>
      </c>
      <c r="D11" s="228"/>
      <c r="E11" s="228"/>
      <c r="F11" s="228"/>
      <c r="G11" s="228"/>
    </row>
    <row r="12" spans="1:8" x14ac:dyDescent="0.2">
      <c r="C12" s="100"/>
      <c r="H12" s="107"/>
    </row>
    <row r="13" spans="1:8" ht="15" x14ac:dyDescent="0.25">
      <c r="A13" s="97" t="s">
        <v>180</v>
      </c>
      <c r="C13" s="99">
        <f>MONTH(A17)</f>
        <v>5</v>
      </c>
      <c r="D13" s="108" t="str">
        <f>TEXT(DATE(1,C13,1),"MMMM")</f>
        <v>Mai</v>
      </c>
      <c r="E13" s="108"/>
      <c r="F13" s="108"/>
      <c r="G13" s="108"/>
    </row>
    <row r="16" spans="1:8" s="101" customFormat="1" ht="33" customHeight="1" x14ac:dyDescent="0.25">
      <c r="B16" s="102" t="s">
        <v>181</v>
      </c>
      <c r="C16" s="102" t="s">
        <v>182</v>
      </c>
      <c r="D16" s="102" t="s">
        <v>185</v>
      </c>
      <c r="E16" s="102" t="s">
        <v>186</v>
      </c>
      <c r="F16" s="102" t="s">
        <v>183</v>
      </c>
      <c r="G16" s="102"/>
      <c r="H16" s="102" t="s">
        <v>184</v>
      </c>
    </row>
    <row r="17" spans="1:10" s="105" customFormat="1" ht="20.100000000000001" customHeight="1" x14ac:dyDescent="0.25">
      <c r="A17" s="106">
        <v>46143</v>
      </c>
      <c r="B17" s="103" t="e">
        <f>VLOOKUP($A17,Stunden!$D:$V,2,FALSE)</f>
        <v>#N/A</v>
      </c>
      <c r="C17" s="103" t="e">
        <f>VLOOKUP($A17,Stunden!$D:$V,3,FALSE)</f>
        <v>#N/A</v>
      </c>
      <c r="D17" s="103" t="e">
        <f>VLOOKUP($A17,Stunden!$D:$V,4,FALSE)</f>
        <v>#N/A</v>
      </c>
      <c r="E17" s="103">
        <v>0.5</v>
      </c>
      <c r="F17" s="103" t="e">
        <f>E17+D17</f>
        <v>#N/A</v>
      </c>
      <c r="G17" s="103"/>
      <c r="H17" s="103" t="e">
        <f>IF(VLOOKUP($A17,Stunden!$D:$V,17,FALSE)=0,"",VLOOKUP($A17,Stunden!$D:$V,17,FALSE))</f>
        <v>#N/A</v>
      </c>
      <c r="I17" s="104"/>
      <c r="J17" s="104"/>
    </row>
    <row r="18" spans="1:10" s="105" customFormat="1" ht="20.100000000000001" customHeight="1" x14ac:dyDescent="0.25">
      <c r="A18" s="106">
        <f>A17+1</f>
        <v>46144</v>
      </c>
      <c r="B18" s="103" t="e">
        <f>VLOOKUP($A18,Stunden!$D:$V,2,FALSE)</f>
        <v>#N/A</v>
      </c>
      <c r="C18" s="103" t="e">
        <f>VLOOKUP($A18,Stunden!$D:$V,3,FALSE)</f>
        <v>#N/A</v>
      </c>
      <c r="D18" s="103" t="e">
        <f>VLOOKUP($A18,Stunden!$D:$V,4,FALSE)</f>
        <v>#N/A</v>
      </c>
      <c r="E18" s="103">
        <v>0.5</v>
      </c>
      <c r="F18" s="103" t="e">
        <f t="shared" ref="F18:F47" si="0">E18+D18</f>
        <v>#N/A</v>
      </c>
      <c r="G18" s="103"/>
      <c r="H18" s="103" t="e">
        <f>IF(VLOOKUP($A18,Stunden!$D:$V,17,FALSE)=0,"",VLOOKUP($A18,Stunden!$D:$V,17,FALSE))</f>
        <v>#N/A</v>
      </c>
      <c r="I18" s="104"/>
      <c r="J18" s="104"/>
    </row>
    <row r="19" spans="1:10" s="105" customFormat="1" ht="20.100000000000001" customHeight="1" x14ac:dyDescent="0.25">
      <c r="A19" s="106">
        <f t="shared" ref="A19:A47" si="1">A18+1</f>
        <v>46145</v>
      </c>
      <c r="B19" s="103" t="e">
        <f>VLOOKUP($A19,Stunden!$D:$V,2,FALSE)</f>
        <v>#N/A</v>
      </c>
      <c r="C19" s="103" t="e">
        <f>VLOOKUP($A19,Stunden!$D:$V,3,FALSE)</f>
        <v>#N/A</v>
      </c>
      <c r="D19" s="103" t="e">
        <f>VLOOKUP($A19,Stunden!$D:$V,4,FALSE)</f>
        <v>#N/A</v>
      </c>
      <c r="E19" s="103">
        <v>0.5</v>
      </c>
      <c r="F19" s="103" t="e">
        <f t="shared" si="0"/>
        <v>#N/A</v>
      </c>
      <c r="G19" s="103"/>
      <c r="H19" s="103" t="e">
        <f>IF(VLOOKUP($A19,Stunden!$D:$V,17,FALSE)=0,"",VLOOKUP($A19,Stunden!$D:$V,17,FALSE))</f>
        <v>#N/A</v>
      </c>
      <c r="I19" s="104"/>
      <c r="J19" s="104"/>
    </row>
    <row r="20" spans="1:10" s="105" customFormat="1" ht="20.100000000000001" customHeight="1" x14ac:dyDescent="0.25">
      <c r="A20" s="106">
        <f t="shared" si="1"/>
        <v>46146</v>
      </c>
      <c r="B20" s="103" t="e">
        <f>VLOOKUP($A20,Stunden!$D:$V,2,FALSE)</f>
        <v>#N/A</v>
      </c>
      <c r="C20" s="103" t="e">
        <f>VLOOKUP($A20,Stunden!$D:$V,3,FALSE)</f>
        <v>#N/A</v>
      </c>
      <c r="D20" s="103" t="e">
        <f>VLOOKUP($A20,Stunden!$D:$V,4,FALSE)</f>
        <v>#N/A</v>
      </c>
      <c r="E20" s="103">
        <v>0.5</v>
      </c>
      <c r="F20" s="103" t="e">
        <f t="shared" si="0"/>
        <v>#N/A</v>
      </c>
      <c r="G20" s="103"/>
      <c r="H20" s="103" t="e">
        <f>IF(VLOOKUP($A20,Stunden!$D:$V,17,FALSE)=0,"",VLOOKUP($A20,Stunden!$D:$V,17,FALSE))</f>
        <v>#N/A</v>
      </c>
      <c r="I20" s="104"/>
      <c r="J20" s="104"/>
    </row>
    <row r="21" spans="1:10" s="105" customFormat="1" ht="20.100000000000001" customHeight="1" x14ac:dyDescent="0.25">
      <c r="A21" s="106">
        <f t="shared" si="1"/>
        <v>46147</v>
      </c>
      <c r="B21" s="103" t="e">
        <f>VLOOKUP($A21,Stunden!$D:$V,2,FALSE)</f>
        <v>#N/A</v>
      </c>
      <c r="C21" s="103" t="e">
        <f>VLOOKUP($A21,Stunden!$D:$V,3,FALSE)</f>
        <v>#N/A</v>
      </c>
      <c r="D21" s="103" t="e">
        <f>VLOOKUP($A21,Stunden!$D:$V,4,FALSE)</f>
        <v>#N/A</v>
      </c>
      <c r="E21" s="103">
        <v>0.5</v>
      </c>
      <c r="F21" s="103" t="e">
        <f t="shared" si="0"/>
        <v>#N/A</v>
      </c>
      <c r="G21" s="103"/>
      <c r="H21" s="103" t="e">
        <f>IF(VLOOKUP($A21,Stunden!$D:$V,17,FALSE)=0,"",VLOOKUP($A21,Stunden!$D:$V,17,FALSE))</f>
        <v>#N/A</v>
      </c>
      <c r="I21" s="104"/>
      <c r="J21" s="104"/>
    </row>
    <row r="22" spans="1:10" s="105" customFormat="1" ht="20.100000000000001" customHeight="1" x14ac:dyDescent="0.25">
      <c r="A22" s="106">
        <f t="shared" si="1"/>
        <v>46148</v>
      </c>
      <c r="B22" s="103" t="e">
        <f>VLOOKUP($A22,Stunden!$D:$V,2,FALSE)</f>
        <v>#N/A</v>
      </c>
      <c r="C22" s="103" t="e">
        <f>VLOOKUP($A22,Stunden!$D:$V,3,FALSE)</f>
        <v>#N/A</v>
      </c>
      <c r="D22" s="103" t="e">
        <f>VLOOKUP($A22,Stunden!$D:$V,4,FALSE)</f>
        <v>#N/A</v>
      </c>
      <c r="E22" s="103">
        <v>0.375</v>
      </c>
      <c r="F22" s="103" t="e">
        <f t="shared" si="0"/>
        <v>#N/A</v>
      </c>
      <c r="G22" s="103"/>
      <c r="H22" s="103" t="e">
        <f>IF(VLOOKUP($A22,Stunden!$D:$V,17,FALSE)=0,"",VLOOKUP($A22,Stunden!$D:$V,17,FALSE))</f>
        <v>#N/A</v>
      </c>
      <c r="J22" s="104"/>
    </row>
    <row r="23" spans="1:10" s="105" customFormat="1" ht="20.100000000000001" customHeight="1" x14ac:dyDescent="0.25">
      <c r="A23" s="106">
        <f t="shared" si="1"/>
        <v>46149</v>
      </c>
      <c r="B23" s="103" t="e">
        <f>VLOOKUP($A23,Stunden!$D:$V,2,FALSE)</f>
        <v>#N/A</v>
      </c>
      <c r="C23" s="103" t="e">
        <f>VLOOKUP($A23,Stunden!$D:$V,3,FALSE)</f>
        <v>#N/A</v>
      </c>
      <c r="D23" s="103" t="e">
        <f>VLOOKUP($A23,Stunden!$D:$V,4,FALSE)</f>
        <v>#N/A</v>
      </c>
      <c r="E23" s="103">
        <v>0.5</v>
      </c>
      <c r="F23" s="103" t="e">
        <f t="shared" si="0"/>
        <v>#N/A</v>
      </c>
      <c r="G23" s="103"/>
      <c r="H23" s="103" t="e">
        <f>IF(VLOOKUP($A23,Stunden!$D:$V,17,FALSE)=0,"",VLOOKUP($A23,Stunden!$D:$V,17,FALSE))</f>
        <v>#N/A</v>
      </c>
      <c r="J23" s="104"/>
    </row>
    <row r="24" spans="1:10" s="105" customFormat="1" ht="20.100000000000001" customHeight="1" x14ac:dyDescent="0.25">
      <c r="A24" s="106">
        <f t="shared" si="1"/>
        <v>46150</v>
      </c>
      <c r="B24" s="103" t="e">
        <f>VLOOKUP($A24,Stunden!$D:$V,2,FALSE)</f>
        <v>#N/A</v>
      </c>
      <c r="C24" s="103" t="e">
        <f>VLOOKUP($A24,Stunden!$D:$V,3,FALSE)</f>
        <v>#N/A</v>
      </c>
      <c r="D24" s="103" t="e">
        <f>VLOOKUP($A24,Stunden!$D:$V,4,FALSE)</f>
        <v>#N/A</v>
      </c>
      <c r="E24" s="103">
        <v>0.5</v>
      </c>
      <c r="F24" s="103" t="e">
        <f t="shared" si="0"/>
        <v>#N/A</v>
      </c>
      <c r="G24" s="103"/>
      <c r="H24" s="103" t="e">
        <f>IF(VLOOKUP($A24,Stunden!$D:$V,17,FALSE)=0,"",VLOOKUP($A24,Stunden!$D:$V,17,FALSE))</f>
        <v>#N/A</v>
      </c>
      <c r="J24" s="104"/>
    </row>
    <row r="25" spans="1:10" s="105" customFormat="1" ht="20.100000000000001" customHeight="1" x14ac:dyDescent="0.25">
      <c r="A25" s="106">
        <f t="shared" si="1"/>
        <v>46151</v>
      </c>
      <c r="B25" s="103" t="e">
        <f>VLOOKUP($A25,Stunden!$D:$V,2,FALSE)</f>
        <v>#N/A</v>
      </c>
      <c r="C25" s="103" t="e">
        <f>VLOOKUP($A25,Stunden!$D:$V,3,FALSE)</f>
        <v>#N/A</v>
      </c>
      <c r="D25" s="103" t="e">
        <f>VLOOKUP($A25,Stunden!$D:$V,4,FALSE)</f>
        <v>#N/A</v>
      </c>
      <c r="E25" s="103">
        <v>0.5</v>
      </c>
      <c r="F25" s="103" t="e">
        <f t="shared" si="0"/>
        <v>#N/A</v>
      </c>
      <c r="G25" s="103"/>
      <c r="H25" s="103" t="e">
        <f>IF(VLOOKUP($A25,Stunden!$D:$V,17,FALSE)=0,"",VLOOKUP($A25,Stunden!$D:$V,17,FALSE))</f>
        <v>#N/A</v>
      </c>
      <c r="J25" s="104"/>
    </row>
    <row r="26" spans="1:10" s="105" customFormat="1" ht="20.100000000000001" customHeight="1" x14ac:dyDescent="0.25">
      <c r="A26" s="106">
        <f t="shared" si="1"/>
        <v>46152</v>
      </c>
      <c r="B26" s="103" t="e">
        <f>VLOOKUP($A26,Stunden!$D:$V,2,FALSE)</f>
        <v>#N/A</v>
      </c>
      <c r="C26" s="103" t="e">
        <f>VLOOKUP($A26,Stunden!$D:$V,3,FALSE)</f>
        <v>#N/A</v>
      </c>
      <c r="D26" s="103" t="e">
        <f>VLOOKUP($A26,Stunden!$D:$V,4,FALSE)</f>
        <v>#N/A</v>
      </c>
      <c r="E26" s="103">
        <v>0.5</v>
      </c>
      <c r="F26" s="103" t="e">
        <f t="shared" si="0"/>
        <v>#N/A</v>
      </c>
      <c r="G26" s="103"/>
      <c r="H26" s="103" t="e">
        <f>IF(VLOOKUP($A26,Stunden!$D:$V,17,FALSE)=0,"",VLOOKUP($A26,Stunden!$D:$V,17,FALSE))</f>
        <v>#N/A</v>
      </c>
      <c r="J26" s="104"/>
    </row>
    <row r="27" spans="1:10" s="105" customFormat="1" ht="20.100000000000001" customHeight="1" x14ac:dyDescent="0.25">
      <c r="A27" s="106">
        <f t="shared" si="1"/>
        <v>46153</v>
      </c>
      <c r="B27" s="103" t="e">
        <f>VLOOKUP($A27,Stunden!$D:$V,2,FALSE)</f>
        <v>#N/A</v>
      </c>
      <c r="C27" s="103" t="e">
        <f>VLOOKUP($A27,Stunden!$D:$V,3,FALSE)</f>
        <v>#N/A</v>
      </c>
      <c r="D27" s="103" t="e">
        <f>VLOOKUP($A27,Stunden!$D:$V,4,FALSE)</f>
        <v>#N/A</v>
      </c>
      <c r="E27" s="103">
        <v>0.5</v>
      </c>
      <c r="F27" s="103" t="e">
        <f t="shared" si="0"/>
        <v>#N/A</v>
      </c>
      <c r="G27" s="103"/>
      <c r="H27" s="103" t="e">
        <f>IF(VLOOKUP($A27,Stunden!$D:$V,17,FALSE)=0,"",VLOOKUP($A27,Stunden!$D:$V,17,FALSE))</f>
        <v>#N/A</v>
      </c>
      <c r="J27" s="104"/>
    </row>
    <row r="28" spans="1:10" s="105" customFormat="1" ht="20.100000000000001" customHeight="1" x14ac:dyDescent="0.25">
      <c r="A28" s="106">
        <f t="shared" si="1"/>
        <v>46154</v>
      </c>
      <c r="B28" s="103" t="e">
        <f>VLOOKUP($A28,Stunden!$D:$V,2,FALSE)</f>
        <v>#N/A</v>
      </c>
      <c r="C28" s="103" t="e">
        <f>VLOOKUP($A28,Stunden!$D:$V,3,FALSE)</f>
        <v>#N/A</v>
      </c>
      <c r="D28" s="103" t="e">
        <f>VLOOKUP($A28,Stunden!$D:$V,4,FALSE)</f>
        <v>#N/A</v>
      </c>
      <c r="E28" s="103">
        <v>0.5</v>
      </c>
      <c r="F28" s="103" t="e">
        <f t="shared" si="0"/>
        <v>#N/A</v>
      </c>
      <c r="G28" s="103"/>
      <c r="H28" s="103" t="e">
        <f>IF(VLOOKUP($A28,Stunden!$D:$V,17,FALSE)=0,"",VLOOKUP($A28,Stunden!$D:$V,17,FALSE))</f>
        <v>#N/A</v>
      </c>
      <c r="J28" s="104"/>
    </row>
    <row r="29" spans="1:10" s="105" customFormat="1" ht="20.100000000000001" customHeight="1" x14ac:dyDescent="0.25">
      <c r="A29" s="106">
        <f t="shared" si="1"/>
        <v>46155</v>
      </c>
      <c r="B29" s="103" t="e">
        <f>VLOOKUP($A29,Stunden!$D:$V,2,FALSE)</f>
        <v>#N/A</v>
      </c>
      <c r="C29" s="103" t="e">
        <f>VLOOKUP($A29,Stunden!$D:$V,3,FALSE)</f>
        <v>#N/A</v>
      </c>
      <c r="D29" s="103" t="e">
        <f>VLOOKUP($A29,Stunden!$D:$V,4,FALSE)</f>
        <v>#N/A</v>
      </c>
      <c r="E29" s="103">
        <v>0.5</v>
      </c>
      <c r="F29" s="103" t="e">
        <f t="shared" si="0"/>
        <v>#N/A</v>
      </c>
      <c r="G29" s="103"/>
      <c r="H29" s="103" t="e">
        <f>IF(VLOOKUP($A29,Stunden!$D:$V,17,FALSE)=0,"",VLOOKUP($A29,Stunden!$D:$V,17,FALSE))</f>
        <v>#N/A</v>
      </c>
      <c r="J29" s="104"/>
    </row>
    <row r="30" spans="1:10" s="105" customFormat="1" ht="20.100000000000001" customHeight="1" x14ac:dyDescent="0.25">
      <c r="A30" s="106">
        <f t="shared" si="1"/>
        <v>46156</v>
      </c>
      <c r="B30" s="103" t="e">
        <f>VLOOKUP($A30,Stunden!$D:$V,2,FALSE)</f>
        <v>#N/A</v>
      </c>
      <c r="C30" s="103" t="e">
        <f>VLOOKUP($A30,Stunden!$D:$V,3,FALSE)</f>
        <v>#N/A</v>
      </c>
      <c r="D30" s="103" t="e">
        <f>VLOOKUP($A30,Stunden!$D:$V,4,FALSE)</f>
        <v>#N/A</v>
      </c>
      <c r="E30" s="103">
        <v>0.5</v>
      </c>
      <c r="F30" s="103" t="e">
        <f t="shared" si="0"/>
        <v>#N/A</v>
      </c>
      <c r="G30" s="103"/>
      <c r="H30" s="103" t="e">
        <f>IF(VLOOKUP($A30,Stunden!$D:$V,17,FALSE)=0,"",VLOOKUP($A30,Stunden!$D:$V,17,FALSE))</f>
        <v>#N/A</v>
      </c>
      <c r="J30" s="104"/>
    </row>
    <row r="31" spans="1:10" s="105" customFormat="1" ht="20.100000000000001" customHeight="1" x14ac:dyDescent="0.25">
      <c r="A31" s="106">
        <f t="shared" si="1"/>
        <v>46157</v>
      </c>
      <c r="B31" s="103" t="e">
        <f>VLOOKUP($A31,Stunden!$D:$V,2,FALSE)</f>
        <v>#N/A</v>
      </c>
      <c r="C31" s="103" t="e">
        <f>VLOOKUP($A31,Stunden!$D:$V,3,FALSE)</f>
        <v>#N/A</v>
      </c>
      <c r="D31" s="103" t="e">
        <f>VLOOKUP($A31,Stunden!$D:$V,4,FALSE)</f>
        <v>#N/A</v>
      </c>
      <c r="E31" s="103">
        <v>0.5</v>
      </c>
      <c r="F31" s="103" t="e">
        <f t="shared" si="0"/>
        <v>#N/A</v>
      </c>
      <c r="G31" s="103"/>
      <c r="H31" s="103" t="e">
        <f>IF(VLOOKUP($A31,Stunden!$D:$V,17,FALSE)=0,"",VLOOKUP($A31,Stunden!$D:$V,17,FALSE))</f>
        <v>#N/A</v>
      </c>
      <c r="J31" s="104"/>
    </row>
    <row r="32" spans="1:10" s="105" customFormat="1" ht="20.100000000000001" customHeight="1" x14ac:dyDescent="0.25">
      <c r="A32" s="106">
        <f t="shared" si="1"/>
        <v>46158</v>
      </c>
      <c r="B32" s="103" t="e">
        <f>VLOOKUP($A32,Stunden!$D:$V,2,FALSE)</f>
        <v>#N/A</v>
      </c>
      <c r="C32" s="103" t="e">
        <f>VLOOKUP($A32,Stunden!$D:$V,3,FALSE)</f>
        <v>#N/A</v>
      </c>
      <c r="D32" s="103" t="e">
        <f>VLOOKUP($A32,Stunden!$D:$V,4,FALSE)</f>
        <v>#N/A</v>
      </c>
      <c r="E32" s="103">
        <v>0.5</v>
      </c>
      <c r="F32" s="103" t="e">
        <f t="shared" si="0"/>
        <v>#N/A</v>
      </c>
      <c r="G32" s="103"/>
      <c r="H32" s="103" t="e">
        <f>IF(VLOOKUP($A32,Stunden!$D:$V,17,FALSE)=0,"",VLOOKUP($A32,Stunden!$D:$V,17,FALSE))</f>
        <v>#N/A</v>
      </c>
      <c r="J32" s="104"/>
    </row>
    <row r="33" spans="1:10" s="105" customFormat="1" ht="20.100000000000001" customHeight="1" x14ac:dyDescent="0.25">
      <c r="A33" s="106">
        <f t="shared" si="1"/>
        <v>46159</v>
      </c>
      <c r="B33" s="103" t="e">
        <f>VLOOKUP($A33,Stunden!$D:$V,2,FALSE)</f>
        <v>#N/A</v>
      </c>
      <c r="C33" s="103" t="e">
        <f>VLOOKUP($A33,Stunden!$D:$V,3,FALSE)</f>
        <v>#N/A</v>
      </c>
      <c r="D33" s="103" t="e">
        <f>VLOOKUP($A33,Stunden!$D:$V,4,FALSE)</f>
        <v>#N/A</v>
      </c>
      <c r="E33" s="103">
        <v>0.5</v>
      </c>
      <c r="F33" s="103" t="e">
        <f t="shared" si="0"/>
        <v>#N/A</v>
      </c>
      <c r="G33" s="103"/>
      <c r="H33" s="103" t="e">
        <f>IF(VLOOKUP($A33,Stunden!$D:$V,17,FALSE)=0,"",VLOOKUP($A33,Stunden!$D:$V,17,FALSE))</f>
        <v>#N/A</v>
      </c>
      <c r="J33" s="104"/>
    </row>
    <row r="34" spans="1:10" s="105" customFormat="1" ht="20.100000000000001" customHeight="1" x14ac:dyDescent="0.25">
      <c r="A34" s="106">
        <f t="shared" si="1"/>
        <v>46160</v>
      </c>
      <c r="B34" s="103" t="e">
        <f>VLOOKUP($A34,Stunden!$D:$V,2,FALSE)</f>
        <v>#N/A</v>
      </c>
      <c r="C34" s="103" t="e">
        <f>VLOOKUP($A34,Stunden!$D:$V,3,FALSE)</f>
        <v>#N/A</v>
      </c>
      <c r="D34" s="103" t="e">
        <f>VLOOKUP($A34,Stunden!$D:$V,4,FALSE)</f>
        <v>#N/A</v>
      </c>
      <c r="E34" s="103">
        <v>0.5</v>
      </c>
      <c r="F34" s="103" t="e">
        <f t="shared" si="0"/>
        <v>#N/A</v>
      </c>
      <c r="G34" s="103"/>
      <c r="H34" s="103" t="e">
        <f>IF(VLOOKUP($A34,Stunden!$D:$V,17,FALSE)=0,"",VLOOKUP($A34,Stunden!$D:$V,17,FALSE))</f>
        <v>#N/A</v>
      </c>
      <c r="J34" s="104"/>
    </row>
    <row r="35" spans="1:10" s="105" customFormat="1" ht="20.100000000000001" customHeight="1" x14ac:dyDescent="0.25">
      <c r="A35" s="106">
        <f t="shared" si="1"/>
        <v>46161</v>
      </c>
      <c r="B35" s="103" t="e">
        <f>VLOOKUP($A35,Stunden!$D:$V,2,FALSE)</f>
        <v>#N/A</v>
      </c>
      <c r="C35" s="103" t="e">
        <f>VLOOKUP($A35,Stunden!$D:$V,3,FALSE)</f>
        <v>#N/A</v>
      </c>
      <c r="D35" s="103" t="e">
        <f>VLOOKUP($A35,Stunden!$D:$V,4,FALSE)</f>
        <v>#N/A</v>
      </c>
      <c r="E35" s="103">
        <v>0.5</v>
      </c>
      <c r="F35" s="103" t="e">
        <f t="shared" si="0"/>
        <v>#N/A</v>
      </c>
      <c r="G35" s="103"/>
      <c r="H35" s="103" t="e">
        <f>IF(VLOOKUP($A35,Stunden!$D:$V,17,FALSE)=0,"",VLOOKUP($A35,Stunden!$D:$V,17,FALSE))</f>
        <v>#N/A</v>
      </c>
      <c r="J35" s="104"/>
    </row>
    <row r="36" spans="1:10" s="105" customFormat="1" ht="20.100000000000001" customHeight="1" x14ac:dyDescent="0.25">
      <c r="A36" s="106">
        <f t="shared" si="1"/>
        <v>46162</v>
      </c>
      <c r="B36" s="103" t="e">
        <f>VLOOKUP($A36,Stunden!$D:$V,2,FALSE)</f>
        <v>#N/A</v>
      </c>
      <c r="C36" s="103" t="e">
        <f>VLOOKUP($A36,Stunden!$D:$V,3,FALSE)</f>
        <v>#N/A</v>
      </c>
      <c r="D36" s="103" t="e">
        <f>VLOOKUP($A36,Stunden!$D:$V,4,FALSE)</f>
        <v>#N/A</v>
      </c>
      <c r="E36" s="103">
        <v>0.5</v>
      </c>
      <c r="F36" s="103" t="e">
        <f t="shared" si="0"/>
        <v>#N/A</v>
      </c>
      <c r="G36" s="103"/>
      <c r="H36" s="103" t="e">
        <f>IF(VLOOKUP($A36,Stunden!$D:$V,17,FALSE)=0,"",VLOOKUP($A36,Stunden!$D:$V,17,FALSE))</f>
        <v>#N/A</v>
      </c>
      <c r="J36" s="104"/>
    </row>
    <row r="37" spans="1:10" s="105" customFormat="1" ht="20.100000000000001" customHeight="1" x14ac:dyDescent="0.25">
      <c r="A37" s="106">
        <f t="shared" si="1"/>
        <v>46163</v>
      </c>
      <c r="B37" s="103" t="e">
        <f>VLOOKUP($A37,Stunden!$D:$V,2,FALSE)</f>
        <v>#N/A</v>
      </c>
      <c r="C37" s="103" t="e">
        <f>VLOOKUP($A37,Stunden!$D:$V,3,FALSE)</f>
        <v>#N/A</v>
      </c>
      <c r="D37" s="103" t="e">
        <f>VLOOKUP($A37,Stunden!$D:$V,4,FALSE)</f>
        <v>#N/A</v>
      </c>
      <c r="E37" s="103">
        <v>0.5</v>
      </c>
      <c r="F37" s="103" t="e">
        <f t="shared" si="0"/>
        <v>#N/A</v>
      </c>
      <c r="G37" s="103"/>
      <c r="H37" s="103" t="e">
        <f>IF(VLOOKUP($A37,Stunden!$D:$V,17,FALSE)=0,"",VLOOKUP($A37,Stunden!$D:$V,17,FALSE))</f>
        <v>#N/A</v>
      </c>
      <c r="J37" s="104"/>
    </row>
    <row r="38" spans="1:10" s="105" customFormat="1" ht="20.100000000000001" customHeight="1" x14ac:dyDescent="0.25">
      <c r="A38" s="106">
        <f t="shared" si="1"/>
        <v>46164</v>
      </c>
      <c r="B38" s="103" t="e">
        <f>VLOOKUP($A38,Stunden!$D:$V,2,FALSE)</f>
        <v>#N/A</v>
      </c>
      <c r="C38" s="103" t="e">
        <f>VLOOKUP($A38,Stunden!$D:$V,3,FALSE)</f>
        <v>#N/A</v>
      </c>
      <c r="D38" s="103" t="e">
        <f>VLOOKUP($A38,Stunden!$D:$V,4,FALSE)</f>
        <v>#N/A</v>
      </c>
      <c r="E38" s="103">
        <v>0.45833333333333331</v>
      </c>
      <c r="F38" s="103" t="e">
        <f t="shared" si="0"/>
        <v>#N/A</v>
      </c>
      <c r="G38" s="103"/>
      <c r="H38" s="103" t="e">
        <f>IF(VLOOKUP($A38,Stunden!$D:$V,17,FALSE)=0,"",VLOOKUP($A38,Stunden!$D:$V,17,FALSE))</f>
        <v>#N/A</v>
      </c>
      <c r="J38" s="104"/>
    </row>
    <row r="39" spans="1:10" s="105" customFormat="1" ht="20.100000000000001" customHeight="1" x14ac:dyDescent="0.25">
      <c r="A39" s="106">
        <f t="shared" si="1"/>
        <v>46165</v>
      </c>
      <c r="B39" s="103" t="e">
        <f>VLOOKUP($A39,Stunden!$D:$V,2,FALSE)</f>
        <v>#N/A</v>
      </c>
      <c r="C39" s="103" t="e">
        <f>VLOOKUP($A39,Stunden!$D:$V,3,FALSE)</f>
        <v>#N/A</v>
      </c>
      <c r="D39" s="103" t="e">
        <f>VLOOKUP($A39,Stunden!$D:$V,4,FALSE)</f>
        <v>#N/A</v>
      </c>
      <c r="E39" s="103">
        <v>0.5</v>
      </c>
      <c r="F39" s="103" t="e">
        <f t="shared" si="0"/>
        <v>#N/A</v>
      </c>
      <c r="G39" s="103"/>
      <c r="H39" s="103" t="e">
        <f>IF(VLOOKUP($A39,Stunden!$D:$V,17,FALSE)=0,"",VLOOKUP($A39,Stunden!$D:$V,17,FALSE))</f>
        <v>#N/A</v>
      </c>
      <c r="J39" s="104"/>
    </row>
    <row r="40" spans="1:10" s="105" customFormat="1" ht="20.100000000000001" customHeight="1" x14ac:dyDescent="0.25">
      <c r="A40" s="106">
        <f t="shared" si="1"/>
        <v>46166</v>
      </c>
      <c r="B40" s="103" t="e">
        <f>VLOOKUP($A40,Stunden!$D:$V,2,FALSE)</f>
        <v>#N/A</v>
      </c>
      <c r="C40" s="103" t="e">
        <f>VLOOKUP($A40,Stunden!$D:$V,3,FALSE)</f>
        <v>#N/A</v>
      </c>
      <c r="D40" s="103" t="e">
        <f>VLOOKUP($A40,Stunden!$D:$V,4,FALSE)</f>
        <v>#N/A</v>
      </c>
      <c r="E40" s="103">
        <v>0.5</v>
      </c>
      <c r="F40" s="103" t="e">
        <f t="shared" si="0"/>
        <v>#N/A</v>
      </c>
      <c r="G40" s="103"/>
      <c r="H40" s="103" t="e">
        <f>IF(VLOOKUP($A40,Stunden!$D:$V,17,FALSE)=0,"",VLOOKUP($A40,Stunden!$D:$V,17,FALSE))</f>
        <v>#N/A</v>
      </c>
      <c r="J40" s="104"/>
    </row>
    <row r="41" spans="1:10" s="105" customFormat="1" ht="20.100000000000001" customHeight="1" x14ac:dyDescent="0.25">
      <c r="A41" s="106">
        <f t="shared" si="1"/>
        <v>46167</v>
      </c>
      <c r="B41" s="103" t="e">
        <f>VLOOKUP($A41,Stunden!$D:$V,2,FALSE)</f>
        <v>#N/A</v>
      </c>
      <c r="C41" s="103" t="e">
        <f>VLOOKUP($A41,Stunden!$D:$V,3,FALSE)</f>
        <v>#N/A</v>
      </c>
      <c r="D41" s="103" t="e">
        <f>VLOOKUP($A41,Stunden!$D:$V,4,FALSE)</f>
        <v>#N/A</v>
      </c>
      <c r="E41" s="103">
        <v>0.5</v>
      </c>
      <c r="F41" s="103" t="e">
        <f t="shared" si="0"/>
        <v>#N/A</v>
      </c>
      <c r="G41" s="103"/>
      <c r="H41" s="103" t="e">
        <f>IF(VLOOKUP($A41,Stunden!$D:$V,17,FALSE)=0,"",VLOOKUP($A41,Stunden!$D:$V,17,FALSE))</f>
        <v>#N/A</v>
      </c>
      <c r="J41" s="104"/>
    </row>
    <row r="42" spans="1:10" s="105" customFormat="1" ht="20.100000000000001" customHeight="1" x14ac:dyDescent="0.25">
      <c r="A42" s="106">
        <f t="shared" si="1"/>
        <v>46168</v>
      </c>
      <c r="B42" s="103" t="e">
        <f>VLOOKUP($A42,Stunden!$D:$V,2,FALSE)</f>
        <v>#N/A</v>
      </c>
      <c r="C42" s="103" t="e">
        <f>VLOOKUP($A42,Stunden!$D:$V,3,FALSE)</f>
        <v>#N/A</v>
      </c>
      <c r="D42" s="103" t="e">
        <f>VLOOKUP($A42,Stunden!$D:$V,4,FALSE)</f>
        <v>#N/A</v>
      </c>
      <c r="E42" s="103">
        <v>0.5</v>
      </c>
      <c r="F42" s="103" t="e">
        <f t="shared" si="0"/>
        <v>#N/A</v>
      </c>
      <c r="G42" s="103"/>
      <c r="H42" s="103" t="e">
        <f>IF(VLOOKUP($A42,Stunden!$D:$V,17,FALSE)=0,"",VLOOKUP($A42,Stunden!$D:$V,17,FALSE))</f>
        <v>#N/A</v>
      </c>
      <c r="J42" s="104"/>
    </row>
    <row r="43" spans="1:10" s="105" customFormat="1" ht="20.100000000000001" customHeight="1" x14ac:dyDescent="0.25">
      <c r="A43" s="106">
        <f t="shared" si="1"/>
        <v>46169</v>
      </c>
      <c r="B43" s="103" t="e">
        <f>VLOOKUP($A43,Stunden!$D:$V,2,FALSE)</f>
        <v>#N/A</v>
      </c>
      <c r="C43" s="103" t="e">
        <f>VLOOKUP($A43,Stunden!$D:$V,3,FALSE)</f>
        <v>#N/A</v>
      </c>
      <c r="D43" s="103" t="e">
        <f>VLOOKUP($A43,Stunden!$D:$V,4,FALSE)</f>
        <v>#N/A</v>
      </c>
      <c r="E43" s="103">
        <v>0.4375</v>
      </c>
      <c r="F43" s="103" t="e">
        <f t="shared" si="0"/>
        <v>#N/A</v>
      </c>
      <c r="G43" s="103"/>
      <c r="H43" s="103" t="e">
        <f>IF(VLOOKUP($A43,Stunden!$D:$V,17,FALSE)=0,"",VLOOKUP($A43,Stunden!$D:$V,17,FALSE))</f>
        <v>#N/A</v>
      </c>
      <c r="J43" s="104"/>
    </row>
    <row r="44" spans="1:10" s="105" customFormat="1" ht="20.100000000000001" customHeight="1" x14ac:dyDescent="0.25">
      <c r="A44" s="106">
        <f t="shared" si="1"/>
        <v>46170</v>
      </c>
      <c r="B44" s="103" t="e">
        <f>VLOOKUP($A44,Stunden!$D:$V,2,FALSE)</f>
        <v>#N/A</v>
      </c>
      <c r="C44" s="103" t="e">
        <f>VLOOKUP($A44,Stunden!$D:$V,3,FALSE)</f>
        <v>#N/A</v>
      </c>
      <c r="D44" s="103" t="e">
        <f>VLOOKUP($A44,Stunden!$D:$V,4,FALSE)</f>
        <v>#N/A</v>
      </c>
      <c r="E44" s="103">
        <v>0.5</v>
      </c>
      <c r="F44" s="103" t="e">
        <f t="shared" si="0"/>
        <v>#N/A</v>
      </c>
      <c r="G44" s="103"/>
      <c r="H44" s="103" t="e">
        <f>IF(VLOOKUP($A44,Stunden!$D:$V,17,FALSE)=0,"",VLOOKUP($A44,Stunden!$D:$V,17,FALSE))</f>
        <v>#N/A</v>
      </c>
      <c r="J44" s="104"/>
    </row>
    <row r="45" spans="1:10" s="105" customFormat="1" ht="20.100000000000001" customHeight="1" x14ac:dyDescent="0.25">
      <c r="A45" s="106">
        <f t="shared" si="1"/>
        <v>46171</v>
      </c>
      <c r="B45" s="103" t="e">
        <f>VLOOKUP($A45,Stunden!$D:$V,2,FALSE)</f>
        <v>#N/A</v>
      </c>
      <c r="C45" s="103" t="e">
        <f>VLOOKUP($A45,Stunden!$D:$V,3,FALSE)</f>
        <v>#N/A</v>
      </c>
      <c r="D45" s="103" t="e">
        <f>VLOOKUP($A45,Stunden!$D:$V,4,FALSE)</f>
        <v>#N/A</v>
      </c>
      <c r="E45" s="103">
        <v>0.5</v>
      </c>
      <c r="F45" s="103" t="e">
        <f t="shared" si="0"/>
        <v>#N/A</v>
      </c>
      <c r="G45" s="103"/>
      <c r="H45" s="103" t="e">
        <f>IF(VLOOKUP($A45,Stunden!$D:$V,17,FALSE)=0,"",VLOOKUP($A45,Stunden!$D:$V,17,FALSE))</f>
        <v>#N/A</v>
      </c>
      <c r="J45" s="104"/>
    </row>
    <row r="46" spans="1:10" s="105" customFormat="1" ht="20.100000000000001" customHeight="1" x14ac:dyDescent="0.25">
      <c r="A46" s="106">
        <f t="shared" si="1"/>
        <v>46172</v>
      </c>
      <c r="B46" s="103" t="e">
        <f>VLOOKUP($A46,Stunden!$D:$V,2,FALSE)</f>
        <v>#N/A</v>
      </c>
      <c r="C46" s="103" t="e">
        <f>VLOOKUP($A46,Stunden!$D:$V,3,FALSE)</f>
        <v>#N/A</v>
      </c>
      <c r="D46" s="103" t="e">
        <f>VLOOKUP($A46,Stunden!$D:$V,4,FALSE)</f>
        <v>#N/A</v>
      </c>
      <c r="E46" s="103">
        <v>0.5</v>
      </c>
      <c r="F46" s="103" t="e">
        <f t="shared" si="0"/>
        <v>#N/A</v>
      </c>
      <c r="G46" s="103"/>
      <c r="H46" s="103" t="e">
        <f>IF(VLOOKUP($A46,Stunden!$D:$V,17,FALSE)=0,"",VLOOKUP($A46,Stunden!$D:$V,17,FALSE))</f>
        <v>#N/A</v>
      </c>
      <c r="J46" s="104"/>
    </row>
    <row r="47" spans="1:10" s="105" customFormat="1" ht="20.100000000000001" customHeight="1" x14ac:dyDescent="0.25">
      <c r="A47" s="106">
        <f t="shared" si="1"/>
        <v>46173</v>
      </c>
      <c r="B47" s="103" t="e">
        <f>VLOOKUP($A47,Stunden!$D:$V,2,FALSE)</f>
        <v>#N/A</v>
      </c>
      <c r="C47" s="103" t="e">
        <f>VLOOKUP($A47,Stunden!$D:$V,3,FALSE)</f>
        <v>#N/A</v>
      </c>
      <c r="D47" s="103" t="e">
        <f>VLOOKUP($A47,Stunden!$D:$V,4,FALSE)</f>
        <v>#N/A</v>
      </c>
      <c r="E47" s="103">
        <v>0.5</v>
      </c>
      <c r="F47" s="103" t="e">
        <f t="shared" si="0"/>
        <v>#N/A</v>
      </c>
      <c r="G47" s="103"/>
      <c r="H47" s="103" t="e">
        <f>IF(VLOOKUP($A47,Stunden!$D:$V,17,FALSE)=0,"",VLOOKUP($A47,Stunden!$D:$V,17,FALSE))</f>
        <v>#N/A</v>
      </c>
      <c r="J47" s="104"/>
    </row>
    <row r="49" spans="10:10" x14ac:dyDescent="0.2">
      <c r="J49" s="119"/>
    </row>
  </sheetData>
  <mergeCells count="2">
    <mergeCell ref="C6:G6"/>
    <mergeCell ref="C11:G11"/>
  </mergeCells>
  <pageMargins left="0.70866141732283472" right="0.31496062992125984" top="0.39370078740157483" bottom="0.39370078740157483" header="0.31496062992125984" footer="0.31496062992125984"/>
  <pageSetup paperSize="9" scale="68" orientation="portrait" r:id="rId1"/>
  <headerFooter>
    <oddFooter>&amp;C_x000D_&amp;1#&amp;"Arial"&amp;8&amp;K869197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Check Box 1">
              <controlPr defaultSize="0" autoFill="0" autoLine="0" autoPict="0">
                <anchor moveWithCells="1">
                  <from>
                    <xdr:col>2</xdr:col>
                    <xdr:colOff>447675</xdr:colOff>
                    <xdr:row>6</xdr:row>
                    <xdr:rowOff>142875</xdr:rowOff>
                  </from>
                  <to>
                    <xdr:col>2</xdr:col>
                    <xdr:colOff>752475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Check Box 2">
              <controlPr defaultSize="0" autoFill="0" autoLine="0" autoPict="0">
                <anchor moveWithCells="1">
                  <from>
                    <xdr:col>4</xdr:col>
                    <xdr:colOff>476250</xdr:colOff>
                    <xdr:row>6</xdr:row>
                    <xdr:rowOff>38100</xdr:rowOff>
                  </from>
                  <to>
                    <xdr:col>5</xdr:col>
                    <xdr:colOff>142875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Check Box 3">
              <controlPr defaultSize="0" autoFill="0" autoLine="0" autoPict="0">
                <anchor moveWithCells="1">
                  <from>
                    <xdr:col>4</xdr:col>
                    <xdr:colOff>752475</xdr:colOff>
                    <xdr:row>7</xdr:row>
                    <xdr:rowOff>152400</xdr:rowOff>
                  </from>
                  <to>
                    <xdr:col>5</xdr:col>
                    <xdr:colOff>419100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Check Box 4">
              <controlPr defaultSize="0" autoFill="0" autoLine="0" autoPict="0">
                <anchor moveWithCells="1">
                  <from>
                    <xdr:col>3</xdr:col>
                    <xdr:colOff>47625</xdr:colOff>
                    <xdr:row>7</xdr:row>
                    <xdr:rowOff>152400</xdr:rowOff>
                  </from>
                  <to>
                    <xdr:col>3</xdr:col>
                    <xdr:colOff>485775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Check Box 5">
              <controlPr defaultSize="0" autoFill="0" autoLine="0" autoPict="0">
                <anchor moveWithCells="1">
                  <from>
                    <xdr:col>3</xdr:col>
                    <xdr:colOff>438150</xdr:colOff>
                    <xdr:row>6</xdr:row>
                    <xdr:rowOff>47625</xdr:rowOff>
                  </from>
                  <to>
                    <xdr:col>4</xdr:col>
                    <xdr:colOff>104775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3FD2E-A6D9-42BE-B582-6B1B692CF5D4}">
  <sheetPr codeName="Sheet14">
    <pageSetUpPr fitToPage="1"/>
  </sheetPr>
  <dimension ref="A6:J49"/>
  <sheetViews>
    <sheetView topLeftCell="A9" zoomScale="85" zoomScaleNormal="85" workbookViewId="0">
      <selection activeCell="C7" sqref="C7"/>
    </sheetView>
  </sheetViews>
  <sheetFormatPr defaultColWidth="11.42578125" defaultRowHeight="14.25" x14ac:dyDescent="0.2"/>
  <cols>
    <col min="1" max="1" width="12.85546875" style="98" customWidth="1"/>
    <col min="2" max="7" width="11.42578125" style="98"/>
    <col min="8" max="8" width="53.42578125" style="98" customWidth="1"/>
    <col min="9" max="16384" width="11.42578125" style="98"/>
  </cols>
  <sheetData>
    <row r="6" spans="1:8" ht="15" x14ac:dyDescent="0.25">
      <c r="A6" s="97" t="s">
        <v>172</v>
      </c>
      <c r="C6" s="228" t="str">
        <f>'pers. Daten'!O6</f>
        <v>Burke, André</v>
      </c>
      <c r="D6" s="228"/>
      <c r="E6" s="228"/>
      <c r="F6" s="228"/>
      <c r="G6" s="228"/>
    </row>
    <row r="7" spans="1:8" x14ac:dyDescent="0.2">
      <c r="C7" s="100"/>
    </row>
    <row r="8" spans="1:8" ht="15" x14ac:dyDescent="0.25">
      <c r="A8" s="97" t="s">
        <v>173</v>
      </c>
      <c r="C8" s="100" t="s">
        <v>174</v>
      </c>
      <c r="D8" s="98" t="s">
        <v>175</v>
      </c>
      <c r="E8" s="98" t="s">
        <v>176</v>
      </c>
      <c r="F8" s="98" t="s">
        <v>177</v>
      </c>
    </row>
    <row r="9" spans="1:8" ht="23.25" customHeight="1" x14ac:dyDescent="0.2">
      <c r="C9" s="100" t="s">
        <v>178</v>
      </c>
      <c r="E9" s="98" t="s">
        <v>179</v>
      </c>
    </row>
    <row r="10" spans="1:8" x14ac:dyDescent="0.2">
      <c r="C10" s="100"/>
    </row>
    <row r="11" spans="1:8" ht="15" x14ac:dyDescent="0.25">
      <c r="A11" s="97" t="s">
        <v>31</v>
      </c>
      <c r="C11" s="228" t="str">
        <f>'pers. Daten'!O1</f>
        <v>??</v>
      </c>
      <c r="D11" s="228"/>
      <c r="E11" s="228"/>
      <c r="F11" s="228"/>
      <c r="G11" s="228"/>
    </row>
    <row r="12" spans="1:8" x14ac:dyDescent="0.2">
      <c r="C12" s="100"/>
      <c r="H12" s="107"/>
    </row>
    <row r="13" spans="1:8" ht="15" x14ac:dyDescent="0.25">
      <c r="A13" s="97" t="s">
        <v>180</v>
      </c>
      <c r="C13" s="99">
        <f>MONTH(A17)</f>
        <v>6</v>
      </c>
      <c r="D13" s="108" t="str">
        <f>TEXT(DATE(1,C13,1),"MMMM")</f>
        <v>Juni</v>
      </c>
      <c r="E13" s="108"/>
      <c r="F13" s="108"/>
      <c r="G13" s="108"/>
    </row>
    <row r="16" spans="1:8" s="101" customFormat="1" ht="33" customHeight="1" x14ac:dyDescent="0.25">
      <c r="B16" s="102" t="s">
        <v>181</v>
      </c>
      <c r="C16" s="102" t="s">
        <v>182</v>
      </c>
      <c r="D16" s="102" t="s">
        <v>185</v>
      </c>
      <c r="E16" s="102" t="s">
        <v>186</v>
      </c>
      <c r="F16" s="102" t="s">
        <v>183</v>
      </c>
      <c r="G16" s="102"/>
      <c r="H16" s="102" t="s">
        <v>184</v>
      </c>
    </row>
    <row r="17" spans="1:10" s="105" customFormat="1" ht="20.100000000000001" customHeight="1" x14ac:dyDescent="0.25">
      <c r="A17" s="106">
        <v>46174</v>
      </c>
      <c r="B17" s="103" t="e">
        <f>VLOOKUP($A17,Stunden!$D:$V,2,FALSE)</f>
        <v>#N/A</v>
      </c>
      <c r="C17" s="103" t="e">
        <f>VLOOKUP($A17,Stunden!$D:$V,3,FALSE)</f>
        <v>#N/A</v>
      </c>
      <c r="D17" s="103" t="e">
        <f>VLOOKUP($A17,Stunden!$D:$V,4,FALSE)</f>
        <v>#N/A</v>
      </c>
      <c r="E17" s="103">
        <v>0.5</v>
      </c>
      <c r="F17" s="103" t="e">
        <f>E17+D17</f>
        <v>#N/A</v>
      </c>
      <c r="G17" s="103"/>
      <c r="H17" s="103" t="e">
        <f>IF(VLOOKUP($A17,Stunden!$D:$V,17,FALSE)=0,"",VLOOKUP($A17,Stunden!$D:$V,17,FALSE))</f>
        <v>#N/A</v>
      </c>
      <c r="I17" s="104"/>
      <c r="J17" s="104"/>
    </row>
    <row r="18" spans="1:10" s="105" customFormat="1" ht="20.100000000000001" customHeight="1" x14ac:dyDescent="0.25">
      <c r="A18" s="106">
        <f>A17+1</f>
        <v>46175</v>
      </c>
      <c r="B18" s="103" t="e">
        <f>VLOOKUP($A18,Stunden!$D:$V,2,FALSE)</f>
        <v>#N/A</v>
      </c>
      <c r="C18" s="103" t="e">
        <f>VLOOKUP($A18,Stunden!$D:$V,3,FALSE)</f>
        <v>#N/A</v>
      </c>
      <c r="D18" s="103" t="e">
        <f>VLOOKUP($A18,Stunden!$D:$V,4,FALSE)</f>
        <v>#N/A</v>
      </c>
      <c r="E18" s="103">
        <v>0.5</v>
      </c>
      <c r="F18" s="103" t="e">
        <f t="shared" ref="F18:F46" si="0">E18+D18</f>
        <v>#N/A</v>
      </c>
      <c r="G18" s="103"/>
      <c r="H18" s="103" t="e">
        <f>IF(VLOOKUP($A18,Stunden!$D:$V,17,FALSE)=0,"",VLOOKUP($A18,Stunden!$D:$V,17,FALSE))</f>
        <v>#N/A</v>
      </c>
      <c r="I18" s="104"/>
      <c r="J18" s="104"/>
    </row>
    <row r="19" spans="1:10" s="105" customFormat="1" ht="20.100000000000001" customHeight="1" x14ac:dyDescent="0.25">
      <c r="A19" s="106">
        <f t="shared" ref="A19:A46" si="1">A18+1</f>
        <v>46176</v>
      </c>
      <c r="B19" s="103" t="e">
        <f>VLOOKUP($A19,Stunden!$D:$V,2,FALSE)</f>
        <v>#N/A</v>
      </c>
      <c r="C19" s="103" t="e">
        <f>VLOOKUP($A19,Stunden!$D:$V,3,FALSE)</f>
        <v>#N/A</v>
      </c>
      <c r="D19" s="103" t="e">
        <f>VLOOKUP($A19,Stunden!$D:$V,4,FALSE)</f>
        <v>#N/A</v>
      </c>
      <c r="E19" s="103">
        <v>0.5</v>
      </c>
      <c r="F19" s="103" t="e">
        <f t="shared" si="0"/>
        <v>#N/A</v>
      </c>
      <c r="G19" s="103"/>
      <c r="H19" s="103" t="e">
        <f>IF(VLOOKUP($A19,Stunden!$D:$V,17,FALSE)=0,"",VLOOKUP($A19,Stunden!$D:$V,17,FALSE))</f>
        <v>#N/A</v>
      </c>
      <c r="I19" s="104"/>
      <c r="J19" s="104"/>
    </row>
    <row r="20" spans="1:10" s="105" customFormat="1" ht="20.100000000000001" customHeight="1" x14ac:dyDescent="0.25">
      <c r="A20" s="106">
        <f t="shared" si="1"/>
        <v>46177</v>
      </c>
      <c r="B20" s="103" t="e">
        <f>VLOOKUP($A20,Stunden!$D:$V,2,FALSE)</f>
        <v>#N/A</v>
      </c>
      <c r="C20" s="103" t="e">
        <f>VLOOKUP($A20,Stunden!$D:$V,3,FALSE)</f>
        <v>#N/A</v>
      </c>
      <c r="D20" s="103" t="e">
        <f>VLOOKUP($A20,Stunden!$D:$V,4,FALSE)</f>
        <v>#N/A</v>
      </c>
      <c r="E20" s="103">
        <v>0.5</v>
      </c>
      <c r="F20" s="103" t="e">
        <f t="shared" si="0"/>
        <v>#N/A</v>
      </c>
      <c r="G20" s="103"/>
      <c r="H20" s="103" t="e">
        <f>IF(VLOOKUP($A20,Stunden!$D:$V,17,FALSE)=0,"",VLOOKUP($A20,Stunden!$D:$V,17,FALSE))</f>
        <v>#N/A</v>
      </c>
      <c r="I20" s="104"/>
      <c r="J20" s="104"/>
    </row>
    <row r="21" spans="1:10" s="105" customFormat="1" ht="20.100000000000001" customHeight="1" x14ac:dyDescent="0.25">
      <c r="A21" s="106">
        <f t="shared" si="1"/>
        <v>46178</v>
      </c>
      <c r="B21" s="103" t="e">
        <f>VLOOKUP($A21,Stunden!$D:$V,2,FALSE)</f>
        <v>#N/A</v>
      </c>
      <c r="C21" s="103" t="e">
        <f>VLOOKUP($A21,Stunden!$D:$V,3,FALSE)</f>
        <v>#N/A</v>
      </c>
      <c r="D21" s="103" t="e">
        <f>VLOOKUP($A21,Stunden!$D:$V,4,FALSE)</f>
        <v>#N/A</v>
      </c>
      <c r="E21" s="103">
        <v>0.5</v>
      </c>
      <c r="F21" s="103" t="e">
        <f t="shared" si="0"/>
        <v>#N/A</v>
      </c>
      <c r="G21" s="103"/>
      <c r="H21" s="103" t="e">
        <f>IF(VLOOKUP($A21,Stunden!$D:$V,17,FALSE)=0,"",VLOOKUP($A21,Stunden!$D:$V,17,FALSE))</f>
        <v>#N/A</v>
      </c>
      <c r="I21" s="104"/>
      <c r="J21" s="104"/>
    </row>
    <row r="22" spans="1:10" s="105" customFormat="1" ht="20.100000000000001" customHeight="1" x14ac:dyDescent="0.25">
      <c r="A22" s="106">
        <f t="shared" si="1"/>
        <v>46179</v>
      </c>
      <c r="B22" s="103" t="e">
        <f>VLOOKUP($A22,Stunden!$D:$V,2,FALSE)</f>
        <v>#N/A</v>
      </c>
      <c r="C22" s="103" t="e">
        <f>VLOOKUP($A22,Stunden!$D:$V,3,FALSE)</f>
        <v>#N/A</v>
      </c>
      <c r="D22" s="103" t="e">
        <f>VLOOKUP($A22,Stunden!$D:$V,4,FALSE)</f>
        <v>#N/A</v>
      </c>
      <c r="E22" s="103">
        <v>0.5</v>
      </c>
      <c r="F22" s="103" t="e">
        <f t="shared" si="0"/>
        <v>#N/A</v>
      </c>
      <c r="G22" s="103"/>
      <c r="H22" s="103" t="e">
        <f>IF(VLOOKUP($A22,Stunden!$D:$V,17,FALSE)=0,"",VLOOKUP($A22,Stunden!$D:$V,17,FALSE))</f>
        <v>#N/A</v>
      </c>
      <c r="J22" s="104"/>
    </row>
    <row r="23" spans="1:10" s="105" customFormat="1" ht="20.100000000000001" customHeight="1" x14ac:dyDescent="0.25">
      <c r="A23" s="106">
        <f t="shared" si="1"/>
        <v>46180</v>
      </c>
      <c r="B23" s="103" t="e">
        <f>VLOOKUP($A23,Stunden!$D:$V,2,FALSE)</f>
        <v>#N/A</v>
      </c>
      <c r="C23" s="103" t="e">
        <f>VLOOKUP($A23,Stunden!$D:$V,3,FALSE)</f>
        <v>#N/A</v>
      </c>
      <c r="D23" s="103" t="e">
        <f>VLOOKUP($A23,Stunden!$D:$V,4,FALSE)</f>
        <v>#N/A</v>
      </c>
      <c r="E23" s="103">
        <v>0.5</v>
      </c>
      <c r="F23" s="103" t="e">
        <f t="shared" si="0"/>
        <v>#N/A</v>
      </c>
      <c r="G23" s="103"/>
      <c r="H23" s="103" t="e">
        <f>IF(VLOOKUP($A23,Stunden!$D:$V,17,FALSE)=0,"",VLOOKUP($A23,Stunden!$D:$V,17,FALSE))</f>
        <v>#N/A</v>
      </c>
      <c r="J23" s="104"/>
    </row>
    <row r="24" spans="1:10" s="105" customFormat="1" ht="20.100000000000001" customHeight="1" x14ac:dyDescent="0.25">
      <c r="A24" s="106">
        <f t="shared" si="1"/>
        <v>46181</v>
      </c>
      <c r="B24" s="103" t="e">
        <f>VLOOKUP($A24,Stunden!$D:$V,2,FALSE)</f>
        <v>#N/A</v>
      </c>
      <c r="C24" s="103" t="e">
        <f>VLOOKUP($A24,Stunden!$D:$V,3,FALSE)</f>
        <v>#N/A</v>
      </c>
      <c r="D24" s="103" t="e">
        <f>VLOOKUP($A24,Stunden!$D:$V,4,FALSE)</f>
        <v>#N/A</v>
      </c>
      <c r="E24" s="103">
        <v>0.5</v>
      </c>
      <c r="F24" s="103" t="e">
        <f t="shared" si="0"/>
        <v>#N/A</v>
      </c>
      <c r="G24" s="103"/>
      <c r="H24" s="103" t="e">
        <f>IF(VLOOKUP($A24,Stunden!$D:$V,17,FALSE)=0,"",VLOOKUP($A24,Stunden!$D:$V,17,FALSE))</f>
        <v>#N/A</v>
      </c>
      <c r="J24" s="104"/>
    </row>
    <row r="25" spans="1:10" s="105" customFormat="1" ht="20.100000000000001" customHeight="1" x14ac:dyDescent="0.25">
      <c r="A25" s="106">
        <f t="shared" si="1"/>
        <v>46182</v>
      </c>
      <c r="B25" s="103" t="e">
        <f>VLOOKUP($A25,Stunden!$D:$V,2,FALSE)</f>
        <v>#N/A</v>
      </c>
      <c r="C25" s="103" t="e">
        <f>VLOOKUP($A25,Stunden!$D:$V,3,FALSE)</f>
        <v>#N/A</v>
      </c>
      <c r="D25" s="103" t="e">
        <f>VLOOKUP($A25,Stunden!$D:$V,4,FALSE)</f>
        <v>#N/A</v>
      </c>
      <c r="E25" s="103">
        <v>0.5</v>
      </c>
      <c r="F25" s="103" t="e">
        <f t="shared" si="0"/>
        <v>#N/A</v>
      </c>
      <c r="G25" s="103"/>
      <c r="H25" s="103" t="e">
        <f>IF(VLOOKUP($A25,Stunden!$D:$V,17,FALSE)=0,"",VLOOKUP($A25,Stunden!$D:$V,17,FALSE))</f>
        <v>#N/A</v>
      </c>
      <c r="J25" s="104"/>
    </row>
    <row r="26" spans="1:10" s="105" customFormat="1" ht="20.100000000000001" customHeight="1" x14ac:dyDescent="0.25">
      <c r="A26" s="106">
        <f t="shared" si="1"/>
        <v>46183</v>
      </c>
      <c r="B26" s="103" t="e">
        <f>VLOOKUP($A26,Stunden!$D:$V,2,FALSE)</f>
        <v>#N/A</v>
      </c>
      <c r="C26" s="103" t="e">
        <f>VLOOKUP($A26,Stunden!$D:$V,3,FALSE)</f>
        <v>#N/A</v>
      </c>
      <c r="D26" s="103" t="e">
        <f>VLOOKUP($A26,Stunden!$D:$V,4,FALSE)</f>
        <v>#N/A</v>
      </c>
      <c r="E26" s="103">
        <v>0.5</v>
      </c>
      <c r="F26" s="103" t="e">
        <f t="shared" si="0"/>
        <v>#N/A</v>
      </c>
      <c r="G26" s="103"/>
      <c r="H26" s="103" t="e">
        <f>IF(VLOOKUP($A26,Stunden!$D:$V,17,FALSE)=0,"",VLOOKUP($A26,Stunden!$D:$V,17,FALSE))</f>
        <v>#N/A</v>
      </c>
      <c r="J26" s="104"/>
    </row>
    <row r="27" spans="1:10" s="105" customFormat="1" ht="20.100000000000001" customHeight="1" x14ac:dyDescent="0.25">
      <c r="A27" s="106">
        <f t="shared" si="1"/>
        <v>46184</v>
      </c>
      <c r="B27" s="103" t="e">
        <f>VLOOKUP($A27,Stunden!$D:$V,2,FALSE)</f>
        <v>#N/A</v>
      </c>
      <c r="C27" s="103" t="e">
        <f>VLOOKUP($A27,Stunden!$D:$V,3,FALSE)</f>
        <v>#N/A</v>
      </c>
      <c r="D27" s="103" t="e">
        <f>VLOOKUP($A27,Stunden!$D:$V,4,FALSE)</f>
        <v>#N/A</v>
      </c>
      <c r="E27" s="103">
        <v>0.5</v>
      </c>
      <c r="F27" s="103" t="e">
        <f t="shared" si="0"/>
        <v>#N/A</v>
      </c>
      <c r="G27" s="103"/>
      <c r="H27" s="103" t="e">
        <f>IF(VLOOKUP($A27,Stunden!$D:$V,17,FALSE)=0,"",VLOOKUP($A27,Stunden!$D:$V,17,FALSE))</f>
        <v>#N/A</v>
      </c>
      <c r="J27" s="104"/>
    </row>
    <row r="28" spans="1:10" s="105" customFormat="1" ht="20.100000000000001" customHeight="1" x14ac:dyDescent="0.25">
      <c r="A28" s="106">
        <f t="shared" si="1"/>
        <v>46185</v>
      </c>
      <c r="B28" s="103" t="e">
        <f>VLOOKUP($A28,Stunden!$D:$V,2,FALSE)</f>
        <v>#N/A</v>
      </c>
      <c r="C28" s="103" t="e">
        <f>VLOOKUP($A28,Stunden!$D:$V,3,FALSE)</f>
        <v>#N/A</v>
      </c>
      <c r="D28" s="103" t="e">
        <f>VLOOKUP($A28,Stunden!$D:$V,4,FALSE)</f>
        <v>#N/A</v>
      </c>
      <c r="E28" s="103">
        <v>0.5</v>
      </c>
      <c r="F28" s="103" t="e">
        <f t="shared" si="0"/>
        <v>#N/A</v>
      </c>
      <c r="G28" s="103"/>
      <c r="H28" s="103" t="e">
        <f>IF(VLOOKUP($A28,Stunden!$D:$V,17,FALSE)=0,"",VLOOKUP($A28,Stunden!$D:$V,17,FALSE))</f>
        <v>#N/A</v>
      </c>
      <c r="J28" s="104"/>
    </row>
    <row r="29" spans="1:10" s="105" customFormat="1" ht="20.100000000000001" customHeight="1" x14ac:dyDescent="0.25">
      <c r="A29" s="106">
        <f t="shared" si="1"/>
        <v>46186</v>
      </c>
      <c r="B29" s="103" t="e">
        <f>VLOOKUP($A29,Stunden!$D:$V,2,FALSE)</f>
        <v>#N/A</v>
      </c>
      <c r="C29" s="103" t="e">
        <f>VLOOKUP($A29,Stunden!$D:$V,3,FALSE)</f>
        <v>#N/A</v>
      </c>
      <c r="D29" s="103" t="e">
        <f>VLOOKUP($A29,Stunden!$D:$V,4,FALSE)</f>
        <v>#N/A</v>
      </c>
      <c r="E29" s="103">
        <v>0.5</v>
      </c>
      <c r="F29" s="103" t="e">
        <f t="shared" si="0"/>
        <v>#N/A</v>
      </c>
      <c r="G29" s="103"/>
      <c r="H29" s="103" t="e">
        <f>IF(VLOOKUP($A29,Stunden!$D:$V,17,FALSE)=0,"",VLOOKUP($A29,Stunden!$D:$V,17,FALSE))</f>
        <v>#N/A</v>
      </c>
      <c r="J29" s="104"/>
    </row>
    <row r="30" spans="1:10" s="105" customFormat="1" ht="20.100000000000001" customHeight="1" x14ac:dyDescent="0.25">
      <c r="A30" s="106">
        <f t="shared" si="1"/>
        <v>46187</v>
      </c>
      <c r="B30" s="103" t="e">
        <f>VLOOKUP($A30,Stunden!$D:$V,2,FALSE)</f>
        <v>#N/A</v>
      </c>
      <c r="C30" s="103" t="e">
        <f>VLOOKUP($A30,Stunden!$D:$V,3,FALSE)</f>
        <v>#N/A</v>
      </c>
      <c r="D30" s="103" t="e">
        <f>VLOOKUP($A30,Stunden!$D:$V,4,FALSE)</f>
        <v>#N/A</v>
      </c>
      <c r="E30" s="103">
        <v>0.5</v>
      </c>
      <c r="F30" s="103" t="e">
        <f t="shared" si="0"/>
        <v>#N/A</v>
      </c>
      <c r="G30" s="103"/>
      <c r="H30" s="103" t="e">
        <f>IF(VLOOKUP($A30,Stunden!$D:$V,17,FALSE)=0,"",VLOOKUP($A30,Stunden!$D:$V,17,FALSE))</f>
        <v>#N/A</v>
      </c>
      <c r="J30" s="104"/>
    </row>
    <row r="31" spans="1:10" s="105" customFormat="1" ht="20.100000000000001" customHeight="1" x14ac:dyDescent="0.25">
      <c r="A31" s="106">
        <f t="shared" si="1"/>
        <v>46188</v>
      </c>
      <c r="B31" s="103" t="e">
        <f>VLOOKUP($A31,Stunden!$D:$V,2,FALSE)</f>
        <v>#N/A</v>
      </c>
      <c r="C31" s="103" t="e">
        <f>VLOOKUP($A31,Stunden!$D:$V,3,FALSE)</f>
        <v>#N/A</v>
      </c>
      <c r="D31" s="103" t="e">
        <f>VLOOKUP($A31,Stunden!$D:$V,4,FALSE)</f>
        <v>#N/A</v>
      </c>
      <c r="E31" s="103">
        <v>0.5</v>
      </c>
      <c r="F31" s="103" t="e">
        <f t="shared" si="0"/>
        <v>#N/A</v>
      </c>
      <c r="G31" s="103"/>
      <c r="H31" s="103" t="e">
        <f>IF(VLOOKUP($A31,Stunden!$D:$V,17,FALSE)=0,"",VLOOKUP($A31,Stunden!$D:$V,17,FALSE))</f>
        <v>#N/A</v>
      </c>
      <c r="J31" s="104"/>
    </row>
    <row r="32" spans="1:10" s="105" customFormat="1" ht="20.100000000000001" customHeight="1" x14ac:dyDescent="0.25">
      <c r="A32" s="106">
        <f t="shared" si="1"/>
        <v>46189</v>
      </c>
      <c r="B32" s="103" t="e">
        <f>VLOOKUP($A32,Stunden!$D:$V,2,FALSE)</f>
        <v>#N/A</v>
      </c>
      <c r="C32" s="103" t="e">
        <f>VLOOKUP($A32,Stunden!$D:$V,3,FALSE)</f>
        <v>#N/A</v>
      </c>
      <c r="D32" s="103" t="e">
        <f>VLOOKUP($A32,Stunden!$D:$V,4,FALSE)</f>
        <v>#N/A</v>
      </c>
      <c r="E32" s="103">
        <v>0.5</v>
      </c>
      <c r="F32" s="103" t="e">
        <f t="shared" si="0"/>
        <v>#N/A</v>
      </c>
      <c r="G32" s="103"/>
      <c r="H32" s="103" t="e">
        <f>IF(VLOOKUP($A32,Stunden!$D:$V,17,FALSE)=0,"",VLOOKUP($A32,Stunden!$D:$V,17,FALSE))</f>
        <v>#N/A</v>
      </c>
      <c r="J32" s="104"/>
    </row>
    <row r="33" spans="1:10" s="105" customFormat="1" ht="20.100000000000001" customHeight="1" x14ac:dyDescent="0.25">
      <c r="A33" s="106">
        <f t="shared" si="1"/>
        <v>46190</v>
      </c>
      <c r="B33" s="103" t="e">
        <f>VLOOKUP($A33,Stunden!$D:$V,2,FALSE)</f>
        <v>#N/A</v>
      </c>
      <c r="C33" s="103" t="e">
        <f>VLOOKUP($A33,Stunden!$D:$V,3,FALSE)</f>
        <v>#N/A</v>
      </c>
      <c r="D33" s="103" t="e">
        <f>VLOOKUP($A33,Stunden!$D:$V,4,FALSE)</f>
        <v>#N/A</v>
      </c>
      <c r="E33" s="103">
        <v>0.5</v>
      </c>
      <c r="F33" s="103" t="e">
        <f t="shared" si="0"/>
        <v>#N/A</v>
      </c>
      <c r="G33" s="103"/>
      <c r="H33" s="103" t="e">
        <f>IF(VLOOKUP($A33,Stunden!$D:$V,17,FALSE)=0,"",VLOOKUP($A33,Stunden!$D:$V,17,FALSE))</f>
        <v>#N/A</v>
      </c>
      <c r="J33" s="104"/>
    </row>
    <row r="34" spans="1:10" s="105" customFormat="1" ht="20.100000000000001" customHeight="1" x14ac:dyDescent="0.25">
      <c r="A34" s="106">
        <f t="shared" si="1"/>
        <v>46191</v>
      </c>
      <c r="B34" s="103" t="e">
        <f>VLOOKUP($A34,Stunden!$D:$V,2,FALSE)</f>
        <v>#N/A</v>
      </c>
      <c r="C34" s="103" t="e">
        <f>VLOOKUP($A34,Stunden!$D:$V,3,FALSE)</f>
        <v>#N/A</v>
      </c>
      <c r="D34" s="103" t="e">
        <f>VLOOKUP($A34,Stunden!$D:$V,4,FALSE)</f>
        <v>#N/A</v>
      </c>
      <c r="E34" s="103">
        <v>0.5</v>
      </c>
      <c r="F34" s="103" t="e">
        <f t="shared" si="0"/>
        <v>#N/A</v>
      </c>
      <c r="G34" s="103"/>
      <c r="H34" s="103" t="e">
        <f>IF(VLOOKUP($A34,Stunden!$D:$V,17,FALSE)=0,"",VLOOKUP($A34,Stunden!$D:$V,17,FALSE))</f>
        <v>#N/A</v>
      </c>
      <c r="J34" s="104"/>
    </row>
    <row r="35" spans="1:10" s="105" customFormat="1" ht="20.100000000000001" customHeight="1" x14ac:dyDescent="0.25">
      <c r="A35" s="106">
        <f t="shared" si="1"/>
        <v>46192</v>
      </c>
      <c r="B35" s="103" t="e">
        <f>VLOOKUP($A35,Stunden!$D:$V,2,FALSE)</f>
        <v>#N/A</v>
      </c>
      <c r="C35" s="103" t="e">
        <f>VLOOKUP($A35,Stunden!$D:$V,3,FALSE)</f>
        <v>#N/A</v>
      </c>
      <c r="D35" s="103" t="e">
        <f>VLOOKUP($A35,Stunden!$D:$V,4,FALSE)</f>
        <v>#N/A</v>
      </c>
      <c r="E35" s="103">
        <v>0.5</v>
      </c>
      <c r="F35" s="103" t="e">
        <f t="shared" si="0"/>
        <v>#N/A</v>
      </c>
      <c r="G35" s="103"/>
      <c r="H35" s="103" t="e">
        <f>IF(VLOOKUP($A35,Stunden!$D:$V,17,FALSE)=0,"",VLOOKUP($A35,Stunden!$D:$V,17,FALSE))</f>
        <v>#N/A</v>
      </c>
      <c r="J35" s="104"/>
    </row>
    <row r="36" spans="1:10" s="105" customFormat="1" ht="20.100000000000001" customHeight="1" x14ac:dyDescent="0.25">
      <c r="A36" s="106">
        <f t="shared" si="1"/>
        <v>46193</v>
      </c>
      <c r="B36" s="103" t="e">
        <f>VLOOKUP($A36,Stunden!$D:$V,2,FALSE)</f>
        <v>#N/A</v>
      </c>
      <c r="C36" s="103" t="e">
        <f>VLOOKUP($A36,Stunden!$D:$V,3,FALSE)</f>
        <v>#N/A</v>
      </c>
      <c r="D36" s="103" t="e">
        <f>VLOOKUP($A36,Stunden!$D:$V,4,FALSE)</f>
        <v>#N/A</v>
      </c>
      <c r="E36" s="103">
        <v>0.5</v>
      </c>
      <c r="F36" s="103" t="e">
        <f t="shared" si="0"/>
        <v>#N/A</v>
      </c>
      <c r="G36" s="103"/>
      <c r="H36" s="103" t="e">
        <f>IF(VLOOKUP($A36,Stunden!$D:$V,17,FALSE)=0,"",VLOOKUP($A36,Stunden!$D:$V,17,FALSE))</f>
        <v>#N/A</v>
      </c>
      <c r="J36" s="104"/>
    </row>
    <row r="37" spans="1:10" s="105" customFormat="1" ht="20.100000000000001" customHeight="1" x14ac:dyDescent="0.25">
      <c r="A37" s="106">
        <f t="shared" si="1"/>
        <v>46194</v>
      </c>
      <c r="B37" s="103" t="e">
        <f>VLOOKUP($A37,Stunden!$D:$V,2,FALSE)</f>
        <v>#N/A</v>
      </c>
      <c r="C37" s="103" t="e">
        <f>VLOOKUP($A37,Stunden!$D:$V,3,FALSE)</f>
        <v>#N/A</v>
      </c>
      <c r="D37" s="103" t="e">
        <f>VLOOKUP($A37,Stunden!$D:$V,4,FALSE)</f>
        <v>#N/A</v>
      </c>
      <c r="E37" s="103">
        <v>0.5</v>
      </c>
      <c r="F37" s="103" t="e">
        <f t="shared" si="0"/>
        <v>#N/A</v>
      </c>
      <c r="G37" s="103"/>
      <c r="H37" s="103" t="e">
        <f>IF(VLOOKUP($A37,Stunden!$D:$V,17,FALSE)=0,"",VLOOKUP($A37,Stunden!$D:$V,17,FALSE))</f>
        <v>#N/A</v>
      </c>
      <c r="J37" s="104"/>
    </row>
    <row r="38" spans="1:10" s="105" customFormat="1" ht="20.100000000000001" customHeight="1" x14ac:dyDescent="0.25">
      <c r="A38" s="106">
        <f t="shared" si="1"/>
        <v>46195</v>
      </c>
      <c r="B38" s="103" t="e">
        <f>VLOOKUP($A38,Stunden!$D:$V,2,FALSE)</f>
        <v>#N/A</v>
      </c>
      <c r="C38" s="103" t="e">
        <f>VLOOKUP($A38,Stunden!$D:$V,3,FALSE)</f>
        <v>#N/A</v>
      </c>
      <c r="D38" s="103" t="e">
        <f>VLOOKUP($A38,Stunden!$D:$V,4,FALSE)</f>
        <v>#N/A</v>
      </c>
      <c r="E38" s="103">
        <v>0.5</v>
      </c>
      <c r="F38" s="103" t="e">
        <f t="shared" si="0"/>
        <v>#N/A</v>
      </c>
      <c r="G38" s="103"/>
      <c r="H38" s="103" t="e">
        <f>IF(VLOOKUP($A38,Stunden!$D:$V,17,FALSE)=0,"",VLOOKUP($A38,Stunden!$D:$V,17,FALSE))</f>
        <v>#N/A</v>
      </c>
      <c r="J38" s="104"/>
    </row>
    <row r="39" spans="1:10" s="105" customFormat="1" ht="20.100000000000001" customHeight="1" x14ac:dyDescent="0.25">
      <c r="A39" s="106">
        <f t="shared" si="1"/>
        <v>46196</v>
      </c>
      <c r="B39" s="103" t="e">
        <f>VLOOKUP($A39,Stunden!$D:$V,2,FALSE)</f>
        <v>#N/A</v>
      </c>
      <c r="C39" s="103" t="e">
        <f>VLOOKUP($A39,Stunden!$D:$V,3,FALSE)</f>
        <v>#N/A</v>
      </c>
      <c r="D39" s="103" t="e">
        <f>VLOOKUP($A39,Stunden!$D:$V,4,FALSE)</f>
        <v>#N/A</v>
      </c>
      <c r="E39" s="103">
        <v>0.5</v>
      </c>
      <c r="F39" s="103" t="e">
        <f t="shared" si="0"/>
        <v>#N/A</v>
      </c>
      <c r="G39" s="103"/>
      <c r="H39" s="103" t="e">
        <f>IF(VLOOKUP($A39,Stunden!$D:$V,17,FALSE)=0,"",VLOOKUP($A39,Stunden!$D:$V,17,FALSE))</f>
        <v>#N/A</v>
      </c>
      <c r="J39" s="104"/>
    </row>
    <row r="40" spans="1:10" s="105" customFormat="1" ht="20.100000000000001" customHeight="1" x14ac:dyDescent="0.25">
      <c r="A40" s="106">
        <f t="shared" si="1"/>
        <v>46197</v>
      </c>
      <c r="B40" s="103" t="e">
        <f>VLOOKUP($A40,Stunden!$D:$V,2,FALSE)</f>
        <v>#N/A</v>
      </c>
      <c r="C40" s="103" t="e">
        <f>VLOOKUP($A40,Stunden!$D:$V,3,FALSE)</f>
        <v>#N/A</v>
      </c>
      <c r="D40" s="103" t="e">
        <f>VLOOKUP($A40,Stunden!$D:$V,4,FALSE)</f>
        <v>#N/A</v>
      </c>
      <c r="E40" s="103">
        <v>0.5</v>
      </c>
      <c r="F40" s="103" t="e">
        <f t="shared" si="0"/>
        <v>#N/A</v>
      </c>
      <c r="G40" s="103"/>
      <c r="H40" s="103" t="e">
        <f>IF(VLOOKUP($A40,Stunden!$D:$V,17,FALSE)=0,"",VLOOKUP($A40,Stunden!$D:$V,17,FALSE))</f>
        <v>#N/A</v>
      </c>
      <c r="J40" s="104"/>
    </row>
    <row r="41" spans="1:10" s="105" customFormat="1" ht="20.100000000000001" customHeight="1" x14ac:dyDescent="0.25">
      <c r="A41" s="106">
        <f t="shared" si="1"/>
        <v>46198</v>
      </c>
      <c r="B41" s="103" t="e">
        <f>VLOOKUP($A41,Stunden!$D:$V,2,FALSE)</f>
        <v>#N/A</v>
      </c>
      <c r="C41" s="103" t="e">
        <f>VLOOKUP($A41,Stunden!$D:$V,3,FALSE)</f>
        <v>#N/A</v>
      </c>
      <c r="D41" s="103" t="e">
        <f>VLOOKUP($A41,Stunden!$D:$V,4,FALSE)</f>
        <v>#N/A</v>
      </c>
      <c r="E41" s="103">
        <v>0.5</v>
      </c>
      <c r="F41" s="103" t="e">
        <f t="shared" si="0"/>
        <v>#N/A</v>
      </c>
      <c r="G41" s="103"/>
      <c r="H41" s="103" t="e">
        <f>IF(VLOOKUP($A41,Stunden!$D:$V,17,FALSE)=0,"",VLOOKUP($A41,Stunden!$D:$V,17,FALSE))</f>
        <v>#N/A</v>
      </c>
      <c r="J41" s="104"/>
    </row>
    <row r="42" spans="1:10" s="105" customFormat="1" ht="20.100000000000001" customHeight="1" x14ac:dyDescent="0.25">
      <c r="A42" s="106">
        <f t="shared" si="1"/>
        <v>46199</v>
      </c>
      <c r="B42" s="103" t="e">
        <f>VLOOKUP($A42,Stunden!$D:$V,2,FALSE)</f>
        <v>#N/A</v>
      </c>
      <c r="C42" s="103" t="e">
        <f>VLOOKUP($A42,Stunden!$D:$V,3,FALSE)</f>
        <v>#N/A</v>
      </c>
      <c r="D42" s="103" t="e">
        <f>VLOOKUP($A42,Stunden!$D:$V,4,FALSE)</f>
        <v>#N/A</v>
      </c>
      <c r="E42" s="103">
        <v>0.5</v>
      </c>
      <c r="F42" s="103" t="e">
        <f t="shared" si="0"/>
        <v>#N/A</v>
      </c>
      <c r="G42" s="103"/>
      <c r="H42" s="103" t="e">
        <f>IF(VLOOKUP($A42,Stunden!$D:$V,17,FALSE)=0,"",VLOOKUP($A42,Stunden!$D:$V,17,FALSE))</f>
        <v>#N/A</v>
      </c>
      <c r="J42" s="104"/>
    </row>
    <row r="43" spans="1:10" s="105" customFormat="1" ht="20.100000000000001" customHeight="1" x14ac:dyDescent="0.25">
      <c r="A43" s="106">
        <f t="shared" si="1"/>
        <v>46200</v>
      </c>
      <c r="B43" s="103" t="e">
        <f>VLOOKUP($A43,Stunden!$D:$V,2,FALSE)</f>
        <v>#N/A</v>
      </c>
      <c r="C43" s="103" t="e">
        <f>VLOOKUP($A43,Stunden!$D:$V,3,FALSE)</f>
        <v>#N/A</v>
      </c>
      <c r="D43" s="103" t="e">
        <f>VLOOKUP($A43,Stunden!$D:$V,4,FALSE)</f>
        <v>#N/A</v>
      </c>
      <c r="E43" s="103">
        <v>0.5</v>
      </c>
      <c r="F43" s="103" t="e">
        <f t="shared" si="0"/>
        <v>#N/A</v>
      </c>
      <c r="G43" s="103"/>
      <c r="H43" s="103" t="e">
        <f>IF(VLOOKUP($A43,Stunden!$D:$V,17,FALSE)=0,"",VLOOKUP($A43,Stunden!$D:$V,17,FALSE))</f>
        <v>#N/A</v>
      </c>
      <c r="J43" s="104"/>
    </row>
    <row r="44" spans="1:10" s="105" customFormat="1" ht="20.100000000000001" customHeight="1" x14ac:dyDescent="0.25">
      <c r="A44" s="106">
        <f t="shared" si="1"/>
        <v>46201</v>
      </c>
      <c r="B44" s="103" t="e">
        <f>VLOOKUP($A44,Stunden!$D:$V,2,FALSE)</f>
        <v>#N/A</v>
      </c>
      <c r="C44" s="103" t="e">
        <f>VLOOKUP($A44,Stunden!$D:$V,3,FALSE)</f>
        <v>#N/A</v>
      </c>
      <c r="D44" s="103" t="e">
        <f>VLOOKUP($A44,Stunden!$D:$V,4,FALSE)</f>
        <v>#N/A</v>
      </c>
      <c r="E44" s="103">
        <v>0.5</v>
      </c>
      <c r="F44" s="103" t="e">
        <f t="shared" si="0"/>
        <v>#N/A</v>
      </c>
      <c r="G44" s="103"/>
      <c r="H44" s="103" t="e">
        <f>IF(VLOOKUP($A44,Stunden!$D:$V,17,FALSE)=0,"",VLOOKUP($A44,Stunden!$D:$V,17,FALSE))</f>
        <v>#N/A</v>
      </c>
      <c r="J44" s="104"/>
    </row>
    <row r="45" spans="1:10" s="105" customFormat="1" ht="20.100000000000001" customHeight="1" x14ac:dyDescent="0.25">
      <c r="A45" s="106">
        <f t="shared" si="1"/>
        <v>46202</v>
      </c>
      <c r="B45" s="103" t="e">
        <f>VLOOKUP($A45,Stunden!$D:$V,2,FALSE)</f>
        <v>#N/A</v>
      </c>
      <c r="C45" s="103" t="e">
        <f>VLOOKUP($A45,Stunden!$D:$V,3,FALSE)</f>
        <v>#N/A</v>
      </c>
      <c r="D45" s="103" t="e">
        <f>VLOOKUP($A45,Stunden!$D:$V,4,FALSE)</f>
        <v>#N/A</v>
      </c>
      <c r="E45" s="103">
        <v>0.5</v>
      </c>
      <c r="F45" s="103" t="e">
        <f t="shared" si="0"/>
        <v>#N/A</v>
      </c>
      <c r="G45" s="103"/>
      <c r="H45" s="103" t="e">
        <f>IF(VLOOKUP($A45,Stunden!$D:$V,17,FALSE)=0,"",VLOOKUP($A45,Stunden!$D:$V,17,FALSE))</f>
        <v>#N/A</v>
      </c>
      <c r="J45" s="104"/>
    </row>
    <row r="46" spans="1:10" s="105" customFormat="1" ht="20.100000000000001" customHeight="1" x14ac:dyDescent="0.25">
      <c r="A46" s="106">
        <f t="shared" si="1"/>
        <v>46203</v>
      </c>
      <c r="B46" s="103" t="e">
        <f>VLOOKUP($A46,Stunden!$D:$V,2,FALSE)</f>
        <v>#N/A</v>
      </c>
      <c r="C46" s="103" t="e">
        <f>VLOOKUP($A46,Stunden!$D:$V,3,FALSE)</f>
        <v>#N/A</v>
      </c>
      <c r="D46" s="103" t="e">
        <f>VLOOKUP($A46,Stunden!$D:$V,4,FALSE)</f>
        <v>#N/A</v>
      </c>
      <c r="E46" s="103">
        <v>0.5</v>
      </c>
      <c r="F46" s="103" t="e">
        <f t="shared" si="0"/>
        <v>#N/A</v>
      </c>
      <c r="G46" s="103"/>
      <c r="H46" s="103" t="e">
        <f>IF(VLOOKUP($A46,Stunden!$D:$V,17,FALSE)=0,"",VLOOKUP($A46,Stunden!$D:$V,17,FALSE))</f>
        <v>#N/A</v>
      </c>
      <c r="J46" s="104"/>
    </row>
    <row r="47" spans="1:10" s="105" customFormat="1" ht="20.100000000000001" customHeight="1" x14ac:dyDescent="0.25">
      <c r="A47" s="106"/>
      <c r="B47" s="103"/>
      <c r="C47" s="103"/>
      <c r="D47" s="103"/>
      <c r="E47" s="103"/>
      <c r="F47" s="103"/>
      <c r="G47" s="103"/>
      <c r="H47" s="103"/>
      <c r="J47" s="104"/>
    </row>
    <row r="49" spans="10:10" x14ac:dyDescent="0.2">
      <c r="J49" s="119"/>
    </row>
  </sheetData>
  <mergeCells count="2">
    <mergeCell ref="C6:G6"/>
    <mergeCell ref="C11:G11"/>
  </mergeCells>
  <pageMargins left="0.70866141732283472" right="0.31496062992125984" top="0.39370078740157483" bottom="0.39370078740157483" header="0.31496062992125984" footer="0.31496062992125984"/>
  <pageSetup paperSize="9" scale="68" orientation="portrait" r:id="rId1"/>
  <headerFooter>
    <oddFooter>&amp;C_x000D_&amp;1#&amp;"Arial"&amp;8&amp;K869197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2</xdr:col>
                    <xdr:colOff>447675</xdr:colOff>
                    <xdr:row>6</xdr:row>
                    <xdr:rowOff>142875</xdr:rowOff>
                  </from>
                  <to>
                    <xdr:col>2</xdr:col>
                    <xdr:colOff>752475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476250</xdr:colOff>
                    <xdr:row>6</xdr:row>
                    <xdr:rowOff>38100</xdr:rowOff>
                  </from>
                  <to>
                    <xdr:col>5</xdr:col>
                    <xdr:colOff>142875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752475</xdr:colOff>
                    <xdr:row>7</xdr:row>
                    <xdr:rowOff>152400</xdr:rowOff>
                  </from>
                  <to>
                    <xdr:col>5</xdr:col>
                    <xdr:colOff>419100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3</xdr:col>
                    <xdr:colOff>47625</xdr:colOff>
                    <xdr:row>7</xdr:row>
                    <xdr:rowOff>152400</xdr:rowOff>
                  </from>
                  <to>
                    <xdr:col>3</xdr:col>
                    <xdr:colOff>485775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3</xdr:col>
                    <xdr:colOff>438150</xdr:colOff>
                    <xdr:row>6</xdr:row>
                    <xdr:rowOff>47625</xdr:rowOff>
                  </from>
                  <to>
                    <xdr:col>4</xdr:col>
                    <xdr:colOff>104775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3BE2C-AE75-4D20-91D0-37178C50ECCE}">
  <sheetPr codeName="Sheet15">
    <pageSetUpPr fitToPage="1"/>
  </sheetPr>
  <dimension ref="A6:J49"/>
  <sheetViews>
    <sheetView topLeftCell="A3" zoomScale="85" zoomScaleNormal="85" workbookViewId="0">
      <selection activeCell="C7" sqref="C7"/>
    </sheetView>
  </sheetViews>
  <sheetFormatPr defaultColWidth="11.42578125" defaultRowHeight="14.25" x14ac:dyDescent="0.2"/>
  <cols>
    <col min="1" max="1" width="12.85546875" style="98" customWidth="1"/>
    <col min="2" max="7" width="11.42578125" style="98"/>
    <col min="8" max="8" width="53.42578125" style="98" customWidth="1"/>
    <col min="9" max="16384" width="11.42578125" style="98"/>
  </cols>
  <sheetData>
    <row r="6" spans="1:8" ht="15" x14ac:dyDescent="0.25">
      <c r="A6" s="97" t="s">
        <v>172</v>
      </c>
      <c r="C6" s="228" t="str">
        <f>'pers. Daten'!O6</f>
        <v>Burke, André</v>
      </c>
      <c r="D6" s="228"/>
      <c r="E6" s="228"/>
      <c r="F6" s="228"/>
      <c r="G6" s="228"/>
    </row>
    <row r="7" spans="1:8" x14ac:dyDescent="0.2">
      <c r="C7" s="100"/>
    </row>
    <row r="8" spans="1:8" ht="15" x14ac:dyDescent="0.25">
      <c r="A8" s="97" t="s">
        <v>173</v>
      </c>
      <c r="C8" s="100" t="s">
        <v>174</v>
      </c>
      <c r="D8" s="98" t="s">
        <v>175</v>
      </c>
      <c r="E8" s="98" t="s">
        <v>176</v>
      </c>
      <c r="F8" s="98" t="s">
        <v>177</v>
      </c>
    </row>
    <row r="9" spans="1:8" ht="23.25" customHeight="1" x14ac:dyDescent="0.2">
      <c r="C9" s="100" t="s">
        <v>178</v>
      </c>
      <c r="E9" s="98" t="s">
        <v>179</v>
      </c>
    </row>
    <row r="10" spans="1:8" x14ac:dyDescent="0.2">
      <c r="C10" s="100"/>
    </row>
    <row r="11" spans="1:8" ht="15" x14ac:dyDescent="0.25">
      <c r="A11" s="97" t="s">
        <v>31</v>
      </c>
      <c r="C11" s="228" t="str">
        <f>'pers. Daten'!O1</f>
        <v>??</v>
      </c>
      <c r="D11" s="228"/>
      <c r="E11" s="228"/>
      <c r="F11" s="228"/>
      <c r="G11" s="228"/>
    </row>
    <row r="12" spans="1:8" x14ac:dyDescent="0.2">
      <c r="C12" s="100"/>
      <c r="H12" s="107"/>
    </row>
    <row r="13" spans="1:8" ht="15" x14ac:dyDescent="0.25">
      <c r="A13" s="97" t="s">
        <v>180</v>
      </c>
      <c r="C13" s="99">
        <f>MONTH(A17)</f>
        <v>7</v>
      </c>
      <c r="D13" s="108" t="str">
        <f>TEXT(DATE(1,C13,1),"MMMM")</f>
        <v>Juli</v>
      </c>
      <c r="E13" s="108"/>
      <c r="F13" s="108"/>
      <c r="G13" s="108"/>
    </row>
    <row r="16" spans="1:8" s="101" customFormat="1" ht="33" customHeight="1" x14ac:dyDescent="0.25">
      <c r="B16" s="102" t="s">
        <v>181</v>
      </c>
      <c r="C16" s="102" t="s">
        <v>182</v>
      </c>
      <c r="D16" s="102" t="s">
        <v>185</v>
      </c>
      <c r="E16" s="102" t="s">
        <v>186</v>
      </c>
      <c r="F16" s="102" t="s">
        <v>183</v>
      </c>
      <c r="G16" s="102"/>
      <c r="H16" s="102" t="s">
        <v>184</v>
      </c>
    </row>
    <row r="17" spans="1:10" s="105" customFormat="1" ht="20.100000000000001" customHeight="1" x14ac:dyDescent="0.25">
      <c r="A17" s="106">
        <v>46204</v>
      </c>
      <c r="B17" s="103" t="e">
        <f>VLOOKUP($A17,Stunden!$D:$V,2,FALSE)</f>
        <v>#N/A</v>
      </c>
      <c r="C17" s="103" t="e">
        <f>VLOOKUP($A17,Stunden!$D:$V,3,FALSE)</f>
        <v>#N/A</v>
      </c>
      <c r="D17" s="103" t="e">
        <f>VLOOKUP($A17,Stunden!$D:$V,4,FALSE)</f>
        <v>#N/A</v>
      </c>
      <c r="E17" s="103">
        <v>0.5</v>
      </c>
      <c r="F17" s="103" t="e">
        <f>E17+D17</f>
        <v>#N/A</v>
      </c>
      <c r="G17" s="103"/>
      <c r="H17" s="103" t="e">
        <f>IF(VLOOKUP($A17,Stunden!$D:$V,17,FALSE)=0,"",VLOOKUP($A17,Stunden!$D:$V,17,FALSE))</f>
        <v>#N/A</v>
      </c>
      <c r="I17" s="104"/>
      <c r="J17" s="104"/>
    </row>
    <row r="18" spans="1:10" s="105" customFormat="1" ht="20.100000000000001" customHeight="1" x14ac:dyDescent="0.25">
      <c r="A18" s="106">
        <f>A17+1</f>
        <v>46205</v>
      </c>
      <c r="B18" s="103" t="e">
        <f>VLOOKUP($A18,Stunden!$D:$V,2,FALSE)</f>
        <v>#N/A</v>
      </c>
      <c r="C18" s="103" t="e">
        <f>VLOOKUP($A18,Stunden!$D:$V,3,FALSE)</f>
        <v>#N/A</v>
      </c>
      <c r="D18" s="103" t="e">
        <f>VLOOKUP($A18,Stunden!$D:$V,4,FALSE)</f>
        <v>#N/A</v>
      </c>
      <c r="E18" s="103">
        <v>0.5</v>
      </c>
      <c r="F18" s="103" t="e">
        <f t="shared" ref="F18:F47" si="0">E18+D18</f>
        <v>#N/A</v>
      </c>
      <c r="G18" s="103"/>
      <c r="H18" s="103" t="e">
        <f>IF(VLOOKUP($A18,Stunden!$D:$V,17,FALSE)=0,"",VLOOKUP($A18,Stunden!$D:$V,17,FALSE))</f>
        <v>#N/A</v>
      </c>
      <c r="I18" s="104"/>
      <c r="J18" s="104"/>
    </row>
    <row r="19" spans="1:10" s="105" customFormat="1" ht="20.100000000000001" customHeight="1" x14ac:dyDescent="0.25">
      <c r="A19" s="106">
        <f t="shared" ref="A19:A47" si="1">A18+1</f>
        <v>46206</v>
      </c>
      <c r="B19" s="103" t="e">
        <f>VLOOKUP($A19,Stunden!$D:$V,2,FALSE)</f>
        <v>#N/A</v>
      </c>
      <c r="C19" s="103" t="e">
        <f>VLOOKUP($A19,Stunden!$D:$V,3,FALSE)</f>
        <v>#N/A</v>
      </c>
      <c r="D19" s="103" t="e">
        <f>VLOOKUP($A19,Stunden!$D:$V,4,FALSE)</f>
        <v>#N/A</v>
      </c>
      <c r="E19" s="103">
        <v>0.5</v>
      </c>
      <c r="F19" s="103" t="e">
        <f t="shared" si="0"/>
        <v>#N/A</v>
      </c>
      <c r="G19" s="103"/>
      <c r="H19" s="103" t="e">
        <f>IF(VLOOKUP($A19,Stunden!$D:$V,17,FALSE)=0,"",VLOOKUP($A19,Stunden!$D:$V,17,FALSE))</f>
        <v>#N/A</v>
      </c>
      <c r="I19" s="104"/>
      <c r="J19" s="104"/>
    </row>
    <row r="20" spans="1:10" s="105" customFormat="1" ht="20.100000000000001" customHeight="1" x14ac:dyDescent="0.25">
      <c r="A20" s="106">
        <f t="shared" si="1"/>
        <v>46207</v>
      </c>
      <c r="B20" s="103" t="e">
        <f>VLOOKUP($A20,Stunden!$D:$V,2,FALSE)</f>
        <v>#N/A</v>
      </c>
      <c r="C20" s="103" t="e">
        <f>VLOOKUP($A20,Stunden!$D:$V,3,FALSE)</f>
        <v>#N/A</v>
      </c>
      <c r="D20" s="103" t="e">
        <f>VLOOKUP($A20,Stunden!$D:$V,4,FALSE)</f>
        <v>#N/A</v>
      </c>
      <c r="E20" s="103">
        <v>0.5</v>
      </c>
      <c r="F20" s="103" t="e">
        <f t="shared" si="0"/>
        <v>#N/A</v>
      </c>
      <c r="G20" s="103"/>
      <c r="H20" s="103" t="e">
        <f>IF(VLOOKUP($A20,Stunden!$D:$V,17,FALSE)=0,"",VLOOKUP($A20,Stunden!$D:$V,17,FALSE))</f>
        <v>#N/A</v>
      </c>
      <c r="I20" s="104"/>
      <c r="J20" s="104"/>
    </row>
    <row r="21" spans="1:10" s="105" customFormat="1" ht="20.100000000000001" customHeight="1" x14ac:dyDescent="0.25">
      <c r="A21" s="106">
        <f t="shared" si="1"/>
        <v>46208</v>
      </c>
      <c r="B21" s="103" t="e">
        <f>VLOOKUP($A21,Stunden!$D:$V,2,FALSE)</f>
        <v>#N/A</v>
      </c>
      <c r="C21" s="103" t="e">
        <f>VLOOKUP($A21,Stunden!$D:$V,3,FALSE)</f>
        <v>#N/A</v>
      </c>
      <c r="D21" s="103" t="e">
        <f>VLOOKUP($A21,Stunden!$D:$V,4,FALSE)</f>
        <v>#N/A</v>
      </c>
      <c r="E21" s="103">
        <v>0.5</v>
      </c>
      <c r="F21" s="103" t="e">
        <f t="shared" si="0"/>
        <v>#N/A</v>
      </c>
      <c r="G21" s="103"/>
      <c r="H21" s="103" t="e">
        <f>IF(VLOOKUP($A21,Stunden!$D:$V,17,FALSE)=0,"",VLOOKUP($A21,Stunden!$D:$V,17,FALSE))</f>
        <v>#N/A</v>
      </c>
      <c r="I21" s="104"/>
      <c r="J21" s="104"/>
    </row>
    <row r="22" spans="1:10" s="105" customFormat="1" ht="20.100000000000001" customHeight="1" x14ac:dyDescent="0.25">
      <c r="A22" s="106">
        <f t="shared" si="1"/>
        <v>46209</v>
      </c>
      <c r="B22" s="103" t="e">
        <f>VLOOKUP($A22,Stunden!$D:$V,2,FALSE)</f>
        <v>#N/A</v>
      </c>
      <c r="C22" s="103" t="e">
        <f>VLOOKUP($A22,Stunden!$D:$V,3,FALSE)</f>
        <v>#N/A</v>
      </c>
      <c r="D22" s="103" t="e">
        <f>VLOOKUP($A22,Stunden!$D:$V,4,FALSE)</f>
        <v>#N/A</v>
      </c>
      <c r="E22" s="103">
        <v>0.5</v>
      </c>
      <c r="F22" s="103" t="e">
        <f t="shared" si="0"/>
        <v>#N/A</v>
      </c>
      <c r="G22" s="103"/>
      <c r="H22" s="103" t="e">
        <f>IF(VLOOKUP($A22,Stunden!$D:$V,17,FALSE)=0,"",VLOOKUP($A22,Stunden!$D:$V,17,FALSE))</f>
        <v>#N/A</v>
      </c>
      <c r="J22" s="104"/>
    </row>
    <row r="23" spans="1:10" s="105" customFormat="1" ht="20.100000000000001" customHeight="1" x14ac:dyDescent="0.25">
      <c r="A23" s="106">
        <f t="shared" si="1"/>
        <v>46210</v>
      </c>
      <c r="B23" s="103" t="e">
        <f>VLOOKUP($A23,Stunden!$D:$V,2,FALSE)</f>
        <v>#N/A</v>
      </c>
      <c r="C23" s="103" t="e">
        <f>VLOOKUP($A23,Stunden!$D:$V,3,FALSE)</f>
        <v>#N/A</v>
      </c>
      <c r="D23" s="103" t="e">
        <f>VLOOKUP($A23,Stunden!$D:$V,4,FALSE)</f>
        <v>#N/A</v>
      </c>
      <c r="E23" s="103">
        <v>0.5</v>
      </c>
      <c r="F23" s="103" t="e">
        <f t="shared" si="0"/>
        <v>#N/A</v>
      </c>
      <c r="G23" s="103"/>
      <c r="H23" s="103" t="e">
        <f>IF(VLOOKUP($A23,Stunden!$D:$V,17,FALSE)=0,"",VLOOKUP($A23,Stunden!$D:$V,17,FALSE))</f>
        <v>#N/A</v>
      </c>
      <c r="J23" s="104"/>
    </row>
    <row r="24" spans="1:10" s="105" customFormat="1" ht="20.100000000000001" customHeight="1" x14ac:dyDescent="0.25">
      <c r="A24" s="106">
        <f t="shared" si="1"/>
        <v>46211</v>
      </c>
      <c r="B24" s="103" t="e">
        <f>VLOOKUP($A24,Stunden!$D:$V,2,FALSE)</f>
        <v>#N/A</v>
      </c>
      <c r="C24" s="103" t="e">
        <f>VLOOKUP($A24,Stunden!$D:$V,3,FALSE)</f>
        <v>#N/A</v>
      </c>
      <c r="D24" s="103" t="e">
        <f>VLOOKUP($A24,Stunden!$D:$V,4,FALSE)</f>
        <v>#N/A</v>
      </c>
      <c r="E24" s="103">
        <v>0.5</v>
      </c>
      <c r="F24" s="103" t="e">
        <f t="shared" si="0"/>
        <v>#N/A</v>
      </c>
      <c r="G24" s="103"/>
      <c r="H24" s="103" t="e">
        <f>IF(VLOOKUP($A24,Stunden!$D:$V,17,FALSE)=0,"",VLOOKUP($A24,Stunden!$D:$V,17,FALSE))</f>
        <v>#N/A</v>
      </c>
      <c r="J24" s="104"/>
    </row>
    <row r="25" spans="1:10" s="105" customFormat="1" ht="20.100000000000001" customHeight="1" x14ac:dyDescent="0.25">
      <c r="A25" s="106">
        <f t="shared" si="1"/>
        <v>46212</v>
      </c>
      <c r="B25" s="103" t="e">
        <f>VLOOKUP($A25,Stunden!$D:$V,2,FALSE)</f>
        <v>#N/A</v>
      </c>
      <c r="C25" s="103" t="e">
        <f>VLOOKUP($A25,Stunden!$D:$V,3,FALSE)</f>
        <v>#N/A</v>
      </c>
      <c r="D25" s="103" t="e">
        <f>VLOOKUP($A25,Stunden!$D:$V,4,FALSE)</f>
        <v>#N/A</v>
      </c>
      <c r="E25" s="103">
        <v>0.5</v>
      </c>
      <c r="F25" s="103" t="e">
        <f t="shared" si="0"/>
        <v>#N/A</v>
      </c>
      <c r="G25" s="103"/>
      <c r="H25" s="103" t="e">
        <f>IF(VLOOKUP($A25,Stunden!$D:$V,17,FALSE)=0,"",VLOOKUP($A25,Stunden!$D:$V,17,FALSE))</f>
        <v>#N/A</v>
      </c>
      <c r="J25" s="104"/>
    </row>
    <row r="26" spans="1:10" s="105" customFormat="1" ht="20.100000000000001" customHeight="1" x14ac:dyDescent="0.25">
      <c r="A26" s="106">
        <f t="shared" si="1"/>
        <v>46213</v>
      </c>
      <c r="B26" s="103" t="e">
        <f>VLOOKUP($A26,Stunden!$D:$V,2,FALSE)</f>
        <v>#N/A</v>
      </c>
      <c r="C26" s="103" t="e">
        <f>VLOOKUP($A26,Stunden!$D:$V,3,FALSE)</f>
        <v>#N/A</v>
      </c>
      <c r="D26" s="103" t="e">
        <f>VLOOKUP($A26,Stunden!$D:$V,4,FALSE)</f>
        <v>#N/A</v>
      </c>
      <c r="E26" s="103">
        <v>0.5</v>
      </c>
      <c r="F26" s="103" t="e">
        <f t="shared" si="0"/>
        <v>#N/A</v>
      </c>
      <c r="G26" s="103"/>
      <c r="H26" s="103" t="e">
        <f>IF(VLOOKUP($A26,Stunden!$D:$V,17,FALSE)=0,"",VLOOKUP($A26,Stunden!$D:$V,17,FALSE))</f>
        <v>#N/A</v>
      </c>
      <c r="J26" s="104"/>
    </row>
    <row r="27" spans="1:10" s="105" customFormat="1" ht="20.100000000000001" customHeight="1" x14ac:dyDescent="0.25">
      <c r="A27" s="106">
        <f t="shared" si="1"/>
        <v>46214</v>
      </c>
      <c r="B27" s="103" t="e">
        <f>VLOOKUP($A27,Stunden!$D:$V,2,FALSE)</f>
        <v>#N/A</v>
      </c>
      <c r="C27" s="103" t="e">
        <f>VLOOKUP($A27,Stunden!$D:$V,3,FALSE)</f>
        <v>#N/A</v>
      </c>
      <c r="D27" s="103" t="e">
        <f>VLOOKUP($A27,Stunden!$D:$V,4,FALSE)</f>
        <v>#N/A</v>
      </c>
      <c r="E27" s="103">
        <v>0.5</v>
      </c>
      <c r="F27" s="103" t="e">
        <f t="shared" si="0"/>
        <v>#N/A</v>
      </c>
      <c r="G27" s="103"/>
      <c r="H27" s="103" t="e">
        <f>IF(VLOOKUP($A27,Stunden!$D:$V,17,FALSE)=0,"",VLOOKUP($A27,Stunden!$D:$V,17,FALSE))</f>
        <v>#N/A</v>
      </c>
      <c r="J27" s="104"/>
    </row>
    <row r="28" spans="1:10" s="105" customFormat="1" ht="20.100000000000001" customHeight="1" x14ac:dyDescent="0.25">
      <c r="A28" s="106">
        <f t="shared" si="1"/>
        <v>46215</v>
      </c>
      <c r="B28" s="103" t="e">
        <f>VLOOKUP($A28,Stunden!$D:$V,2,FALSE)</f>
        <v>#N/A</v>
      </c>
      <c r="C28" s="103" t="e">
        <f>VLOOKUP($A28,Stunden!$D:$V,3,FALSE)</f>
        <v>#N/A</v>
      </c>
      <c r="D28" s="103" t="e">
        <f>VLOOKUP($A28,Stunden!$D:$V,4,FALSE)</f>
        <v>#N/A</v>
      </c>
      <c r="E28" s="103">
        <v>0.5</v>
      </c>
      <c r="F28" s="103" t="e">
        <f t="shared" si="0"/>
        <v>#N/A</v>
      </c>
      <c r="G28" s="103"/>
      <c r="H28" s="103" t="e">
        <f>IF(VLOOKUP($A28,Stunden!$D:$V,17,FALSE)=0,"",VLOOKUP($A28,Stunden!$D:$V,17,FALSE))</f>
        <v>#N/A</v>
      </c>
      <c r="J28" s="104"/>
    </row>
    <row r="29" spans="1:10" s="105" customFormat="1" ht="20.100000000000001" customHeight="1" x14ac:dyDescent="0.25">
      <c r="A29" s="106">
        <f t="shared" si="1"/>
        <v>46216</v>
      </c>
      <c r="B29" s="103" t="e">
        <f>VLOOKUP($A29,Stunden!$D:$V,2,FALSE)</f>
        <v>#N/A</v>
      </c>
      <c r="C29" s="103" t="e">
        <f>VLOOKUP($A29,Stunden!$D:$V,3,FALSE)</f>
        <v>#N/A</v>
      </c>
      <c r="D29" s="103" t="e">
        <f>VLOOKUP($A29,Stunden!$D:$V,4,FALSE)</f>
        <v>#N/A</v>
      </c>
      <c r="E29" s="103">
        <v>0.5</v>
      </c>
      <c r="F29" s="103" t="e">
        <f t="shared" si="0"/>
        <v>#N/A</v>
      </c>
      <c r="G29" s="103"/>
      <c r="H29" s="103" t="e">
        <f>IF(VLOOKUP($A29,Stunden!$D:$V,17,FALSE)=0,"",VLOOKUP($A29,Stunden!$D:$V,17,FALSE))</f>
        <v>#N/A</v>
      </c>
      <c r="J29" s="104"/>
    </row>
    <row r="30" spans="1:10" s="105" customFormat="1" ht="20.100000000000001" customHeight="1" x14ac:dyDescent="0.25">
      <c r="A30" s="106">
        <f t="shared" si="1"/>
        <v>46217</v>
      </c>
      <c r="B30" s="103" t="e">
        <f>VLOOKUP($A30,Stunden!$D:$V,2,FALSE)</f>
        <v>#N/A</v>
      </c>
      <c r="C30" s="103" t="e">
        <f>VLOOKUP($A30,Stunden!$D:$V,3,FALSE)</f>
        <v>#N/A</v>
      </c>
      <c r="D30" s="103" t="e">
        <f>VLOOKUP($A30,Stunden!$D:$V,4,FALSE)</f>
        <v>#N/A</v>
      </c>
      <c r="E30" s="103">
        <v>0.5</v>
      </c>
      <c r="F30" s="103" t="e">
        <f t="shared" si="0"/>
        <v>#N/A</v>
      </c>
      <c r="G30" s="103"/>
      <c r="H30" s="103" t="e">
        <f>IF(VLOOKUP($A30,Stunden!$D:$V,17,FALSE)=0,"",VLOOKUP($A30,Stunden!$D:$V,17,FALSE))</f>
        <v>#N/A</v>
      </c>
      <c r="J30" s="104"/>
    </row>
    <row r="31" spans="1:10" s="105" customFormat="1" ht="20.100000000000001" customHeight="1" x14ac:dyDescent="0.25">
      <c r="A31" s="106">
        <f t="shared" si="1"/>
        <v>46218</v>
      </c>
      <c r="B31" s="103" t="e">
        <f>VLOOKUP($A31,Stunden!$D:$V,2,FALSE)</f>
        <v>#N/A</v>
      </c>
      <c r="C31" s="103" t="e">
        <f>VLOOKUP($A31,Stunden!$D:$V,3,FALSE)</f>
        <v>#N/A</v>
      </c>
      <c r="D31" s="103" t="e">
        <f>VLOOKUP($A31,Stunden!$D:$V,4,FALSE)</f>
        <v>#N/A</v>
      </c>
      <c r="E31" s="103">
        <v>0.5</v>
      </c>
      <c r="F31" s="103" t="e">
        <f t="shared" si="0"/>
        <v>#N/A</v>
      </c>
      <c r="G31" s="103"/>
      <c r="H31" s="103" t="e">
        <f>IF(VLOOKUP($A31,Stunden!$D:$V,17,FALSE)=0,"",VLOOKUP($A31,Stunden!$D:$V,17,FALSE))</f>
        <v>#N/A</v>
      </c>
      <c r="J31" s="104"/>
    </row>
    <row r="32" spans="1:10" s="105" customFormat="1" ht="20.100000000000001" customHeight="1" x14ac:dyDescent="0.25">
      <c r="A32" s="106">
        <f t="shared" si="1"/>
        <v>46219</v>
      </c>
      <c r="B32" s="103" t="e">
        <f>VLOOKUP($A32,Stunden!$D:$V,2,FALSE)</f>
        <v>#N/A</v>
      </c>
      <c r="C32" s="103" t="e">
        <f>VLOOKUP($A32,Stunden!$D:$V,3,FALSE)</f>
        <v>#N/A</v>
      </c>
      <c r="D32" s="103" t="e">
        <f>VLOOKUP($A32,Stunden!$D:$V,4,FALSE)</f>
        <v>#N/A</v>
      </c>
      <c r="E32" s="103">
        <v>0.5</v>
      </c>
      <c r="F32" s="103" t="e">
        <f t="shared" si="0"/>
        <v>#N/A</v>
      </c>
      <c r="G32" s="103"/>
      <c r="H32" s="103" t="e">
        <f>IF(VLOOKUP($A32,Stunden!$D:$V,17,FALSE)=0,"",VLOOKUP($A32,Stunden!$D:$V,17,FALSE))</f>
        <v>#N/A</v>
      </c>
      <c r="J32" s="104"/>
    </row>
    <row r="33" spans="1:10" s="105" customFormat="1" ht="20.100000000000001" customHeight="1" x14ac:dyDescent="0.25">
      <c r="A33" s="106">
        <f t="shared" si="1"/>
        <v>46220</v>
      </c>
      <c r="B33" s="103" t="e">
        <f>VLOOKUP($A33,Stunden!$D:$V,2,FALSE)</f>
        <v>#N/A</v>
      </c>
      <c r="C33" s="103" t="e">
        <f>VLOOKUP($A33,Stunden!$D:$V,3,FALSE)</f>
        <v>#N/A</v>
      </c>
      <c r="D33" s="103" t="e">
        <f>VLOOKUP($A33,Stunden!$D:$V,4,FALSE)</f>
        <v>#N/A</v>
      </c>
      <c r="E33" s="103">
        <v>0.5</v>
      </c>
      <c r="F33" s="103" t="e">
        <f t="shared" si="0"/>
        <v>#N/A</v>
      </c>
      <c r="G33" s="103"/>
      <c r="H33" s="103" t="e">
        <f>IF(VLOOKUP($A33,Stunden!$D:$V,17,FALSE)=0,"",VLOOKUP($A33,Stunden!$D:$V,17,FALSE))</f>
        <v>#N/A</v>
      </c>
      <c r="J33" s="104"/>
    </row>
    <row r="34" spans="1:10" s="105" customFormat="1" ht="20.100000000000001" customHeight="1" x14ac:dyDescent="0.25">
      <c r="A34" s="106">
        <f t="shared" si="1"/>
        <v>46221</v>
      </c>
      <c r="B34" s="103" t="e">
        <f>VLOOKUP($A34,Stunden!$D:$V,2,FALSE)</f>
        <v>#N/A</v>
      </c>
      <c r="C34" s="103" t="e">
        <f>VLOOKUP($A34,Stunden!$D:$V,3,FALSE)</f>
        <v>#N/A</v>
      </c>
      <c r="D34" s="103" t="e">
        <f>VLOOKUP($A34,Stunden!$D:$V,4,FALSE)</f>
        <v>#N/A</v>
      </c>
      <c r="E34" s="103">
        <v>0.5</v>
      </c>
      <c r="F34" s="103" t="e">
        <f t="shared" si="0"/>
        <v>#N/A</v>
      </c>
      <c r="G34" s="103"/>
      <c r="H34" s="103" t="e">
        <f>IF(VLOOKUP($A34,Stunden!$D:$V,17,FALSE)=0,"",VLOOKUP($A34,Stunden!$D:$V,17,FALSE))</f>
        <v>#N/A</v>
      </c>
      <c r="J34" s="104"/>
    </row>
    <row r="35" spans="1:10" s="105" customFormat="1" ht="20.100000000000001" customHeight="1" x14ac:dyDescent="0.25">
      <c r="A35" s="106">
        <f t="shared" si="1"/>
        <v>46222</v>
      </c>
      <c r="B35" s="103" t="e">
        <f>VLOOKUP($A35,Stunden!$D:$V,2,FALSE)</f>
        <v>#N/A</v>
      </c>
      <c r="C35" s="103" t="e">
        <f>VLOOKUP($A35,Stunden!$D:$V,3,FALSE)</f>
        <v>#N/A</v>
      </c>
      <c r="D35" s="103" t="e">
        <f>VLOOKUP($A35,Stunden!$D:$V,4,FALSE)</f>
        <v>#N/A</v>
      </c>
      <c r="E35" s="103">
        <v>0.5</v>
      </c>
      <c r="F35" s="103" t="e">
        <f t="shared" si="0"/>
        <v>#N/A</v>
      </c>
      <c r="G35" s="103"/>
      <c r="H35" s="103" t="e">
        <f>IF(VLOOKUP($A35,Stunden!$D:$V,17,FALSE)=0,"",VLOOKUP($A35,Stunden!$D:$V,17,FALSE))</f>
        <v>#N/A</v>
      </c>
      <c r="J35" s="104"/>
    </row>
    <row r="36" spans="1:10" s="105" customFormat="1" ht="20.100000000000001" customHeight="1" x14ac:dyDescent="0.25">
      <c r="A36" s="106">
        <f t="shared" si="1"/>
        <v>46223</v>
      </c>
      <c r="B36" s="103" t="e">
        <f>VLOOKUP($A36,Stunden!$D:$V,2,FALSE)</f>
        <v>#N/A</v>
      </c>
      <c r="C36" s="103" t="e">
        <f>VLOOKUP($A36,Stunden!$D:$V,3,FALSE)</f>
        <v>#N/A</v>
      </c>
      <c r="D36" s="103" t="e">
        <f>VLOOKUP($A36,Stunden!$D:$V,4,FALSE)</f>
        <v>#N/A</v>
      </c>
      <c r="E36" s="103">
        <v>0.5</v>
      </c>
      <c r="F36" s="103" t="e">
        <f t="shared" si="0"/>
        <v>#N/A</v>
      </c>
      <c r="G36" s="103"/>
      <c r="H36" s="103" t="e">
        <f>IF(VLOOKUP($A36,Stunden!$D:$V,17,FALSE)=0,"",VLOOKUP($A36,Stunden!$D:$V,17,FALSE))</f>
        <v>#N/A</v>
      </c>
      <c r="J36" s="104"/>
    </row>
    <row r="37" spans="1:10" s="105" customFormat="1" ht="20.100000000000001" customHeight="1" x14ac:dyDescent="0.25">
      <c r="A37" s="106">
        <f t="shared" si="1"/>
        <v>46224</v>
      </c>
      <c r="B37" s="103" t="e">
        <f>VLOOKUP($A37,Stunden!$D:$V,2,FALSE)</f>
        <v>#N/A</v>
      </c>
      <c r="C37" s="103" t="e">
        <f>VLOOKUP($A37,Stunden!$D:$V,3,FALSE)</f>
        <v>#N/A</v>
      </c>
      <c r="D37" s="103" t="e">
        <f>VLOOKUP($A37,Stunden!$D:$V,4,FALSE)</f>
        <v>#N/A</v>
      </c>
      <c r="E37" s="103">
        <v>0.5</v>
      </c>
      <c r="F37" s="103" t="e">
        <f t="shared" si="0"/>
        <v>#N/A</v>
      </c>
      <c r="G37" s="103"/>
      <c r="H37" s="103" t="e">
        <f>IF(VLOOKUP($A37,Stunden!$D:$V,17,FALSE)=0,"",VLOOKUP($A37,Stunden!$D:$V,17,FALSE))</f>
        <v>#N/A</v>
      </c>
      <c r="J37" s="104"/>
    </row>
    <row r="38" spans="1:10" s="105" customFormat="1" ht="20.100000000000001" customHeight="1" x14ac:dyDescent="0.25">
      <c r="A38" s="106">
        <f t="shared" si="1"/>
        <v>46225</v>
      </c>
      <c r="B38" s="103" t="e">
        <f>VLOOKUP($A38,Stunden!$D:$V,2,FALSE)</f>
        <v>#N/A</v>
      </c>
      <c r="C38" s="103" t="e">
        <f>VLOOKUP($A38,Stunden!$D:$V,3,FALSE)</f>
        <v>#N/A</v>
      </c>
      <c r="D38" s="103" t="e">
        <f>VLOOKUP($A38,Stunden!$D:$V,4,FALSE)</f>
        <v>#N/A</v>
      </c>
      <c r="E38" s="103">
        <v>0.5</v>
      </c>
      <c r="F38" s="103" t="e">
        <f t="shared" si="0"/>
        <v>#N/A</v>
      </c>
      <c r="G38" s="103"/>
      <c r="H38" s="103" t="e">
        <f>IF(VLOOKUP($A38,Stunden!$D:$V,17,FALSE)=0,"",VLOOKUP($A38,Stunden!$D:$V,17,FALSE))</f>
        <v>#N/A</v>
      </c>
      <c r="J38" s="104"/>
    </row>
    <row r="39" spans="1:10" s="105" customFormat="1" ht="20.100000000000001" customHeight="1" x14ac:dyDescent="0.25">
      <c r="A39" s="106">
        <f t="shared" si="1"/>
        <v>46226</v>
      </c>
      <c r="B39" s="103" t="e">
        <f>VLOOKUP($A39,Stunden!$D:$V,2,FALSE)</f>
        <v>#N/A</v>
      </c>
      <c r="C39" s="103" t="e">
        <f>VLOOKUP($A39,Stunden!$D:$V,3,FALSE)</f>
        <v>#N/A</v>
      </c>
      <c r="D39" s="103" t="e">
        <f>VLOOKUP($A39,Stunden!$D:$V,4,FALSE)</f>
        <v>#N/A</v>
      </c>
      <c r="E39" s="103">
        <v>0.5</v>
      </c>
      <c r="F39" s="103" t="e">
        <f t="shared" si="0"/>
        <v>#N/A</v>
      </c>
      <c r="G39" s="103"/>
      <c r="H39" s="103" t="e">
        <f>IF(VLOOKUP($A39,Stunden!$D:$V,17,FALSE)=0,"",VLOOKUP($A39,Stunden!$D:$V,17,FALSE))</f>
        <v>#N/A</v>
      </c>
      <c r="J39" s="104"/>
    </row>
    <row r="40" spans="1:10" s="105" customFormat="1" ht="20.100000000000001" customHeight="1" x14ac:dyDescent="0.25">
      <c r="A40" s="106">
        <f t="shared" si="1"/>
        <v>46227</v>
      </c>
      <c r="B40" s="103" t="e">
        <f>VLOOKUP($A40,Stunden!$D:$V,2,FALSE)</f>
        <v>#N/A</v>
      </c>
      <c r="C40" s="103" t="e">
        <f>VLOOKUP($A40,Stunden!$D:$V,3,FALSE)</f>
        <v>#N/A</v>
      </c>
      <c r="D40" s="103" t="e">
        <f>VLOOKUP($A40,Stunden!$D:$V,4,FALSE)</f>
        <v>#N/A</v>
      </c>
      <c r="E40" s="103">
        <v>0.5</v>
      </c>
      <c r="F40" s="103" t="e">
        <f t="shared" si="0"/>
        <v>#N/A</v>
      </c>
      <c r="G40" s="103"/>
      <c r="H40" s="103" t="e">
        <f>IF(VLOOKUP($A40,Stunden!$D:$V,17,FALSE)=0,"",VLOOKUP($A40,Stunden!$D:$V,17,FALSE))</f>
        <v>#N/A</v>
      </c>
      <c r="J40" s="104"/>
    </row>
    <row r="41" spans="1:10" s="105" customFormat="1" ht="20.100000000000001" customHeight="1" x14ac:dyDescent="0.25">
      <c r="A41" s="106">
        <f t="shared" si="1"/>
        <v>46228</v>
      </c>
      <c r="B41" s="103" t="e">
        <f>VLOOKUP($A41,Stunden!$D:$V,2,FALSE)</f>
        <v>#N/A</v>
      </c>
      <c r="C41" s="103" t="e">
        <f>VLOOKUP($A41,Stunden!$D:$V,3,FALSE)</f>
        <v>#N/A</v>
      </c>
      <c r="D41" s="103" t="e">
        <f>VLOOKUP($A41,Stunden!$D:$V,4,FALSE)</f>
        <v>#N/A</v>
      </c>
      <c r="E41" s="103">
        <v>0.5</v>
      </c>
      <c r="F41" s="103" t="e">
        <f t="shared" si="0"/>
        <v>#N/A</v>
      </c>
      <c r="G41" s="103"/>
      <c r="H41" s="103" t="e">
        <f>IF(VLOOKUP($A41,Stunden!$D:$V,17,FALSE)=0,"",VLOOKUP($A41,Stunden!$D:$V,17,FALSE))</f>
        <v>#N/A</v>
      </c>
      <c r="J41" s="104"/>
    </row>
    <row r="42" spans="1:10" s="105" customFormat="1" ht="20.100000000000001" customHeight="1" x14ac:dyDescent="0.25">
      <c r="A42" s="106">
        <f t="shared" si="1"/>
        <v>46229</v>
      </c>
      <c r="B42" s="103" t="e">
        <f>VLOOKUP($A42,Stunden!$D:$V,2,FALSE)</f>
        <v>#N/A</v>
      </c>
      <c r="C42" s="103" t="e">
        <f>VLOOKUP($A42,Stunden!$D:$V,3,FALSE)</f>
        <v>#N/A</v>
      </c>
      <c r="D42" s="103" t="e">
        <f>VLOOKUP($A42,Stunden!$D:$V,4,FALSE)</f>
        <v>#N/A</v>
      </c>
      <c r="E42" s="103">
        <v>0.5</v>
      </c>
      <c r="F42" s="103" t="e">
        <f t="shared" si="0"/>
        <v>#N/A</v>
      </c>
      <c r="G42" s="103"/>
      <c r="H42" s="103" t="e">
        <f>IF(VLOOKUP($A42,Stunden!$D:$V,17,FALSE)=0,"",VLOOKUP($A42,Stunden!$D:$V,17,FALSE))</f>
        <v>#N/A</v>
      </c>
      <c r="J42" s="104"/>
    </row>
    <row r="43" spans="1:10" s="105" customFormat="1" ht="20.100000000000001" customHeight="1" x14ac:dyDescent="0.25">
      <c r="A43" s="106">
        <f t="shared" si="1"/>
        <v>46230</v>
      </c>
      <c r="B43" s="103" t="e">
        <f>VLOOKUP($A43,Stunden!$D:$V,2,FALSE)</f>
        <v>#N/A</v>
      </c>
      <c r="C43" s="103" t="e">
        <f>VLOOKUP($A43,Stunden!$D:$V,3,FALSE)</f>
        <v>#N/A</v>
      </c>
      <c r="D43" s="103" t="e">
        <f>VLOOKUP($A43,Stunden!$D:$V,4,FALSE)</f>
        <v>#N/A</v>
      </c>
      <c r="E43" s="103">
        <v>0.5</v>
      </c>
      <c r="F43" s="103" t="e">
        <f t="shared" si="0"/>
        <v>#N/A</v>
      </c>
      <c r="G43" s="103"/>
      <c r="H43" s="103" t="e">
        <f>IF(VLOOKUP($A43,Stunden!$D:$V,17,FALSE)=0,"",VLOOKUP($A43,Stunden!$D:$V,17,FALSE))</f>
        <v>#N/A</v>
      </c>
      <c r="J43" s="104"/>
    </row>
    <row r="44" spans="1:10" s="105" customFormat="1" ht="20.100000000000001" customHeight="1" x14ac:dyDescent="0.25">
      <c r="A44" s="106">
        <f t="shared" si="1"/>
        <v>46231</v>
      </c>
      <c r="B44" s="103" t="e">
        <f>VLOOKUP($A44,Stunden!$D:$V,2,FALSE)</f>
        <v>#N/A</v>
      </c>
      <c r="C44" s="103" t="e">
        <f>VLOOKUP($A44,Stunden!$D:$V,3,FALSE)</f>
        <v>#N/A</v>
      </c>
      <c r="D44" s="103" t="e">
        <f>VLOOKUP($A44,Stunden!$D:$V,4,FALSE)</f>
        <v>#N/A</v>
      </c>
      <c r="E44" s="103">
        <v>0.5</v>
      </c>
      <c r="F44" s="103" t="e">
        <f t="shared" si="0"/>
        <v>#N/A</v>
      </c>
      <c r="G44" s="103"/>
      <c r="H44" s="103" t="e">
        <f>IF(VLOOKUP($A44,Stunden!$D:$V,17,FALSE)=0,"",VLOOKUP($A44,Stunden!$D:$V,17,FALSE))</f>
        <v>#N/A</v>
      </c>
      <c r="J44" s="104"/>
    </row>
    <row r="45" spans="1:10" s="105" customFormat="1" ht="20.100000000000001" customHeight="1" x14ac:dyDescent="0.25">
      <c r="A45" s="106">
        <f t="shared" si="1"/>
        <v>46232</v>
      </c>
      <c r="B45" s="103" t="e">
        <f>VLOOKUP($A45,Stunden!$D:$V,2,FALSE)</f>
        <v>#N/A</v>
      </c>
      <c r="C45" s="103" t="e">
        <f>VLOOKUP($A45,Stunden!$D:$V,3,FALSE)</f>
        <v>#N/A</v>
      </c>
      <c r="D45" s="103" t="e">
        <f>VLOOKUP($A45,Stunden!$D:$V,4,FALSE)</f>
        <v>#N/A</v>
      </c>
      <c r="E45" s="103">
        <v>0.5</v>
      </c>
      <c r="F45" s="103" t="e">
        <f t="shared" si="0"/>
        <v>#N/A</v>
      </c>
      <c r="G45" s="103"/>
      <c r="H45" s="103" t="e">
        <f>IF(VLOOKUP($A45,Stunden!$D:$V,17,FALSE)=0,"",VLOOKUP($A45,Stunden!$D:$V,17,FALSE))</f>
        <v>#N/A</v>
      </c>
      <c r="J45" s="104"/>
    </row>
    <row r="46" spans="1:10" s="105" customFormat="1" ht="20.100000000000001" customHeight="1" x14ac:dyDescent="0.25">
      <c r="A46" s="106">
        <f t="shared" si="1"/>
        <v>46233</v>
      </c>
      <c r="B46" s="103" t="e">
        <f>VLOOKUP($A46,Stunden!$D:$V,2,FALSE)</f>
        <v>#N/A</v>
      </c>
      <c r="C46" s="103" t="e">
        <f>VLOOKUP($A46,Stunden!$D:$V,3,FALSE)</f>
        <v>#N/A</v>
      </c>
      <c r="D46" s="103" t="e">
        <f>VLOOKUP($A46,Stunden!$D:$V,4,FALSE)</f>
        <v>#N/A</v>
      </c>
      <c r="E46" s="103">
        <v>0.5</v>
      </c>
      <c r="F46" s="103" t="e">
        <f t="shared" si="0"/>
        <v>#N/A</v>
      </c>
      <c r="G46" s="103"/>
      <c r="H46" s="103" t="e">
        <f>IF(VLOOKUP($A46,Stunden!$D:$V,17,FALSE)=0,"",VLOOKUP($A46,Stunden!$D:$V,17,FALSE))</f>
        <v>#N/A</v>
      </c>
      <c r="J46" s="104"/>
    </row>
    <row r="47" spans="1:10" s="105" customFormat="1" ht="20.100000000000001" customHeight="1" x14ac:dyDescent="0.25">
      <c r="A47" s="106">
        <f t="shared" si="1"/>
        <v>46234</v>
      </c>
      <c r="B47" s="103" t="e">
        <f>VLOOKUP($A47,Stunden!$D:$V,2,FALSE)</f>
        <v>#N/A</v>
      </c>
      <c r="C47" s="103" t="e">
        <f>VLOOKUP($A47,Stunden!$D:$V,3,FALSE)</f>
        <v>#N/A</v>
      </c>
      <c r="D47" s="103" t="e">
        <f>VLOOKUP($A47,Stunden!$D:$V,4,FALSE)</f>
        <v>#N/A</v>
      </c>
      <c r="E47" s="103">
        <v>0.5</v>
      </c>
      <c r="F47" s="103" t="e">
        <f t="shared" si="0"/>
        <v>#N/A</v>
      </c>
      <c r="G47" s="103"/>
      <c r="H47" s="103" t="e">
        <f>IF(VLOOKUP($A47,Stunden!$D:$V,17,FALSE)=0,"",VLOOKUP($A47,Stunden!$D:$V,17,FALSE))</f>
        <v>#N/A</v>
      </c>
      <c r="J47" s="104"/>
    </row>
    <row r="49" spans="10:10" x14ac:dyDescent="0.2">
      <c r="J49" s="119"/>
    </row>
  </sheetData>
  <mergeCells count="2">
    <mergeCell ref="C6:G6"/>
    <mergeCell ref="C11:G11"/>
  </mergeCells>
  <pageMargins left="0.70866141732283472" right="0.31496062992125984" top="0.39370078740157483" bottom="0.39370078740157483" header="0.31496062992125984" footer="0.31496062992125984"/>
  <pageSetup paperSize="9" scale="68" orientation="portrait" r:id="rId1"/>
  <headerFooter>
    <oddFooter>&amp;C_x000D_&amp;1#&amp;"Arial"&amp;8&amp;K869197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2</xdr:col>
                    <xdr:colOff>447675</xdr:colOff>
                    <xdr:row>6</xdr:row>
                    <xdr:rowOff>142875</xdr:rowOff>
                  </from>
                  <to>
                    <xdr:col>2</xdr:col>
                    <xdr:colOff>752475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476250</xdr:colOff>
                    <xdr:row>6</xdr:row>
                    <xdr:rowOff>38100</xdr:rowOff>
                  </from>
                  <to>
                    <xdr:col>5</xdr:col>
                    <xdr:colOff>142875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752475</xdr:colOff>
                    <xdr:row>7</xdr:row>
                    <xdr:rowOff>152400</xdr:rowOff>
                  </from>
                  <to>
                    <xdr:col>5</xdr:col>
                    <xdr:colOff>419100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3</xdr:col>
                    <xdr:colOff>47625</xdr:colOff>
                    <xdr:row>7</xdr:row>
                    <xdr:rowOff>152400</xdr:rowOff>
                  </from>
                  <to>
                    <xdr:col>3</xdr:col>
                    <xdr:colOff>485775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3</xdr:col>
                    <xdr:colOff>438150</xdr:colOff>
                    <xdr:row>6</xdr:row>
                    <xdr:rowOff>47625</xdr:rowOff>
                  </from>
                  <to>
                    <xdr:col>4</xdr:col>
                    <xdr:colOff>104775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16FFB-BBD0-4C07-A70F-C51B015F3486}">
  <sheetPr codeName="Sheet16">
    <pageSetUpPr fitToPage="1"/>
  </sheetPr>
  <dimension ref="A6:J49"/>
  <sheetViews>
    <sheetView topLeftCell="A6" zoomScale="85" zoomScaleNormal="85" workbookViewId="0">
      <selection activeCell="C7" sqref="C7"/>
    </sheetView>
  </sheetViews>
  <sheetFormatPr defaultColWidth="11.42578125" defaultRowHeight="14.25" x14ac:dyDescent="0.2"/>
  <cols>
    <col min="1" max="1" width="12.85546875" style="98" customWidth="1"/>
    <col min="2" max="7" width="11.42578125" style="98"/>
    <col min="8" max="8" width="53.42578125" style="98" customWidth="1"/>
    <col min="9" max="16384" width="11.42578125" style="98"/>
  </cols>
  <sheetData>
    <row r="6" spans="1:8" ht="15" x14ac:dyDescent="0.25">
      <c r="A6" s="97" t="s">
        <v>172</v>
      </c>
      <c r="C6" s="228" t="str">
        <f>'pers. Daten'!O6</f>
        <v>Burke, André</v>
      </c>
      <c r="D6" s="228"/>
      <c r="E6" s="228"/>
      <c r="F6" s="228"/>
      <c r="G6" s="228"/>
    </row>
    <row r="7" spans="1:8" x14ac:dyDescent="0.2">
      <c r="C7" s="100"/>
    </row>
    <row r="8" spans="1:8" ht="15" x14ac:dyDescent="0.25">
      <c r="A8" s="97" t="s">
        <v>173</v>
      </c>
      <c r="C8" s="100" t="s">
        <v>174</v>
      </c>
      <c r="D8" s="98" t="s">
        <v>175</v>
      </c>
      <c r="E8" s="98" t="s">
        <v>176</v>
      </c>
      <c r="F8" s="98" t="s">
        <v>177</v>
      </c>
    </row>
    <row r="9" spans="1:8" ht="23.25" customHeight="1" x14ac:dyDescent="0.2">
      <c r="C9" s="100" t="s">
        <v>178</v>
      </c>
      <c r="E9" s="98" t="s">
        <v>179</v>
      </c>
    </row>
    <row r="10" spans="1:8" x14ac:dyDescent="0.2">
      <c r="C10" s="100"/>
    </row>
    <row r="11" spans="1:8" ht="15" x14ac:dyDescent="0.25">
      <c r="A11" s="97" t="s">
        <v>31</v>
      </c>
      <c r="C11" s="228" t="str">
        <f>'pers. Daten'!O1</f>
        <v>??</v>
      </c>
      <c r="D11" s="228"/>
      <c r="E11" s="228"/>
      <c r="F11" s="228"/>
      <c r="G11" s="228"/>
    </row>
    <row r="12" spans="1:8" x14ac:dyDescent="0.2">
      <c r="C12" s="100"/>
      <c r="H12" s="107"/>
    </row>
    <row r="13" spans="1:8" ht="15" x14ac:dyDescent="0.25">
      <c r="A13" s="97" t="s">
        <v>180</v>
      </c>
      <c r="C13" s="99">
        <f>MONTH(A17)</f>
        <v>8</v>
      </c>
      <c r="D13" s="108" t="str">
        <f>TEXT(DATE(1,C13,1),"MMMM")</f>
        <v>August</v>
      </c>
      <c r="E13" s="108"/>
      <c r="F13" s="108"/>
      <c r="G13" s="108"/>
    </row>
    <row r="16" spans="1:8" s="101" customFormat="1" ht="33" customHeight="1" x14ac:dyDescent="0.25">
      <c r="B16" s="102" t="s">
        <v>181</v>
      </c>
      <c r="C16" s="102" t="s">
        <v>182</v>
      </c>
      <c r="D16" s="102" t="s">
        <v>185</v>
      </c>
      <c r="E16" s="102" t="s">
        <v>186</v>
      </c>
      <c r="F16" s="102" t="s">
        <v>183</v>
      </c>
      <c r="G16" s="102"/>
      <c r="H16" s="102" t="s">
        <v>184</v>
      </c>
    </row>
    <row r="17" spans="1:10" s="105" customFormat="1" ht="20.100000000000001" customHeight="1" x14ac:dyDescent="0.25">
      <c r="A17" s="106">
        <v>46235</v>
      </c>
      <c r="B17" s="103" t="e">
        <f>VLOOKUP($A17,Stunden!$D:$V,2,FALSE)</f>
        <v>#N/A</v>
      </c>
      <c r="C17" s="103" t="e">
        <f>VLOOKUP($A17,Stunden!$D:$V,3,FALSE)</f>
        <v>#N/A</v>
      </c>
      <c r="D17" s="103" t="e">
        <f>VLOOKUP($A17,Stunden!$D:$V,4,FALSE)</f>
        <v>#N/A</v>
      </c>
      <c r="E17" s="103">
        <v>0.5</v>
      </c>
      <c r="F17" s="103" t="e">
        <f>E17+D17</f>
        <v>#N/A</v>
      </c>
      <c r="G17" s="103"/>
      <c r="H17" s="103" t="e">
        <f>IF(VLOOKUP($A17,Stunden!$D:$V,17,FALSE)=0,"",VLOOKUP($A17,Stunden!$D:$V,17,FALSE))</f>
        <v>#N/A</v>
      </c>
      <c r="I17" s="104"/>
      <c r="J17" s="104"/>
    </row>
    <row r="18" spans="1:10" s="105" customFormat="1" ht="20.100000000000001" customHeight="1" x14ac:dyDescent="0.25">
      <c r="A18" s="106">
        <f>A17+1</f>
        <v>46236</v>
      </c>
      <c r="B18" s="103" t="e">
        <f>VLOOKUP($A18,Stunden!$D:$V,2,FALSE)</f>
        <v>#N/A</v>
      </c>
      <c r="C18" s="103" t="e">
        <f>VLOOKUP($A18,Stunden!$D:$V,3,FALSE)</f>
        <v>#N/A</v>
      </c>
      <c r="D18" s="103" t="e">
        <f>VLOOKUP($A18,Stunden!$D:$V,4,FALSE)</f>
        <v>#N/A</v>
      </c>
      <c r="E18" s="103">
        <v>0.5</v>
      </c>
      <c r="F18" s="103" t="e">
        <f t="shared" ref="F18:F47" si="0">E18+D18</f>
        <v>#N/A</v>
      </c>
      <c r="G18" s="103"/>
      <c r="H18" s="103" t="e">
        <f>IF(VLOOKUP($A18,Stunden!$D:$V,17,FALSE)=0,"",VLOOKUP($A18,Stunden!$D:$V,17,FALSE))</f>
        <v>#N/A</v>
      </c>
      <c r="I18" s="104"/>
      <c r="J18" s="104"/>
    </row>
    <row r="19" spans="1:10" s="105" customFormat="1" ht="20.100000000000001" customHeight="1" x14ac:dyDescent="0.25">
      <c r="A19" s="106">
        <f t="shared" ref="A19:A47" si="1">A18+1</f>
        <v>46237</v>
      </c>
      <c r="B19" s="103" t="e">
        <f>VLOOKUP($A19,Stunden!$D:$V,2,FALSE)</f>
        <v>#N/A</v>
      </c>
      <c r="C19" s="103" t="e">
        <f>VLOOKUP($A19,Stunden!$D:$V,3,FALSE)</f>
        <v>#N/A</v>
      </c>
      <c r="D19" s="103" t="e">
        <f>VLOOKUP($A19,Stunden!$D:$V,4,FALSE)</f>
        <v>#N/A</v>
      </c>
      <c r="E19" s="103">
        <v>0.5</v>
      </c>
      <c r="F19" s="103" t="e">
        <f t="shared" si="0"/>
        <v>#N/A</v>
      </c>
      <c r="G19" s="103"/>
      <c r="H19" s="103" t="e">
        <f>IF(VLOOKUP($A19,Stunden!$D:$V,17,FALSE)=0,"",VLOOKUP($A19,Stunden!$D:$V,17,FALSE))</f>
        <v>#N/A</v>
      </c>
      <c r="I19" s="104"/>
      <c r="J19" s="104"/>
    </row>
    <row r="20" spans="1:10" s="105" customFormat="1" ht="20.100000000000001" customHeight="1" x14ac:dyDescent="0.25">
      <c r="A20" s="106">
        <f t="shared" si="1"/>
        <v>46238</v>
      </c>
      <c r="B20" s="103" t="e">
        <f>VLOOKUP($A20,Stunden!$D:$V,2,FALSE)</f>
        <v>#N/A</v>
      </c>
      <c r="C20" s="103" t="e">
        <f>VLOOKUP($A20,Stunden!$D:$V,3,FALSE)</f>
        <v>#N/A</v>
      </c>
      <c r="D20" s="103" t="e">
        <f>VLOOKUP($A20,Stunden!$D:$V,4,FALSE)</f>
        <v>#N/A</v>
      </c>
      <c r="E20" s="103">
        <v>0.5</v>
      </c>
      <c r="F20" s="103" t="e">
        <f t="shared" si="0"/>
        <v>#N/A</v>
      </c>
      <c r="G20" s="103"/>
      <c r="H20" s="103" t="e">
        <f>IF(VLOOKUP($A20,Stunden!$D:$V,17,FALSE)=0,"",VLOOKUP($A20,Stunden!$D:$V,17,FALSE))</f>
        <v>#N/A</v>
      </c>
      <c r="I20" s="104"/>
      <c r="J20" s="104"/>
    </row>
    <row r="21" spans="1:10" s="105" customFormat="1" ht="20.100000000000001" customHeight="1" x14ac:dyDescent="0.25">
      <c r="A21" s="106">
        <f t="shared" si="1"/>
        <v>46239</v>
      </c>
      <c r="B21" s="103" t="e">
        <f>VLOOKUP($A21,Stunden!$D:$V,2,FALSE)</f>
        <v>#N/A</v>
      </c>
      <c r="C21" s="103" t="e">
        <f>VLOOKUP($A21,Stunden!$D:$V,3,FALSE)</f>
        <v>#N/A</v>
      </c>
      <c r="D21" s="103" t="e">
        <f>VLOOKUP($A21,Stunden!$D:$V,4,FALSE)</f>
        <v>#N/A</v>
      </c>
      <c r="E21" s="103">
        <v>0.5</v>
      </c>
      <c r="F21" s="103" t="e">
        <f t="shared" si="0"/>
        <v>#N/A</v>
      </c>
      <c r="G21" s="103"/>
      <c r="H21" s="103" t="e">
        <f>IF(VLOOKUP($A21,Stunden!$D:$V,17,FALSE)=0,"",VLOOKUP($A21,Stunden!$D:$V,17,FALSE))</f>
        <v>#N/A</v>
      </c>
      <c r="I21" s="104"/>
      <c r="J21" s="104"/>
    </row>
    <row r="22" spans="1:10" s="105" customFormat="1" ht="20.100000000000001" customHeight="1" x14ac:dyDescent="0.25">
      <c r="A22" s="106">
        <f t="shared" si="1"/>
        <v>46240</v>
      </c>
      <c r="B22" s="103" t="e">
        <f>VLOOKUP($A22,Stunden!$D:$V,2,FALSE)</f>
        <v>#N/A</v>
      </c>
      <c r="C22" s="103" t="e">
        <f>VLOOKUP($A22,Stunden!$D:$V,3,FALSE)</f>
        <v>#N/A</v>
      </c>
      <c r="D22" s="103" t="e">
        <f>VLOOKUP($A22,Stunden!$D:$V,4,FALSE)</f>
        <v>#N/A</v>
      </c>
      <c r="E22" s="103">
        <v>0.5</v>
      </c>
      <c r="F22" s="103" t="e">
        <f t="shared" si="0"/>
        <v>#N/A</v>
      </c>
      <c r="G22" s="103"/>
      <c r="H22" s="103" t="e">
        <f>IF(VLOOKUP($A22,Stunden!$D:$V,17,FALSE)=0,"",VLOOKUP($A22,Stunden!$D:$V,17,FALSE))</f>
        <v>#N/A</v>
      </c>
      <c r="J22" s="104"/>
    </row>
    <row r="23" spans="1:10" s="105" customFormat="1" ht="20.100000000000001" customHeight="1" x14ac:dyDescent="0.25">
      <c r="A23" s="106">
        <f t="shared" si="1"/>
        <v>46241</v>
      </c>
      <c r="B23" s="103" t="e">
        <f>VLOOKUP($A23,Stunden!$D:$V,2,FALSE)</f>
        <v>#N/A</v>
      </c>
      <c r="C23" s="103" t="e">
        <f>VLOOKUP($A23,Stunden!$D:$V,3,FALSE)</f>
        <v>#N/A</v>
      </c>
      <c r="D23" s="103" t="e">
        <f>VLOOKUP($A23,Stunden!$D:$V,4,FALSE)</f>
        <v>#N/A</v>
      </c>
      <c r="E23" s="103">
        <v>0.5</v>
      </c>
      <c r="F23" s="103" t="e">
        <f t="shared" si="0"/>
        <v>#N/A</v>
      </c>
      <c r="G23" s="103"/>
      <c r="H23" s="103" t="e">
        <f>IF(VLOOKUP($A23,Stunden!$D:$V,17,FALSE)=0,"",VLOOKUP($A23,Stunden!$D:$V,17,FALSE))</f>
        <v>#N/A</v>
      </c>
      <c r="J23" s="104"/>
    </row>
    <row r="24" spans="1:10" s="105" customFormat="1" ht="20.100000000000001" customHeight="1" x14ac:dyDescent="0.25">
      <c r="A24" s="106">
        <f t="shared" si="1"/>
        <v>46242</v>
      </c>
      <c r="B24" s="103" t="e">
        <f>VLOOKUP($A24,Stunden!$D:$V,2,FALSE)</f>
        <v>#N/A</v>
      </c>
      <c r="C24" s="103" t="e">
        <f>VLOOKUP($A24,Stunden!$D:$V,3,FALSE)</f>
        <v>#N/A</v>
      </c>
      <c r="D24" s="103" t="e">
        <f>VLOOKUP($A24,Stunden!$D:$V,4,FALSE)</f>
        <v>#N/A</v>
      </c>
      <c r="E24" s="103">
        <v>0.5</v>
      </c>
      <c r="F24" s="103" t="e">
        <f t="shared" si="0"/>
        <v>#N/A</v>
      </c>
      <c r="G24" s="103"/>
      <c r="H24" s="103" t="e">
        <f>IF(VLOOKUP($A24,Stunden!$D:$V,17,FALSE)=0,"",VLOOKUP($A24,Stunden!$D:$V,17,FALSE))</f>
        <v>#N/A</v>
      </c>
      <c r="J24" s="104"/>
    </row>
    <row r="25" spans="1:10" s="105" customFormat="1" ht="20.100000000000001" customHeight="1" x14ac:dyDescent="0.25">
      <c r="A25" s="106">
        <f t="shared" si="1"/>
        <v>46243</v>
      </c>
      <c r="B25" s="103" t="e">
        <f>VLOOKUP($A25,Stunden!$D:$V,2,FALSE)</f>
        <v>#N/A</v>
      </c>
      <c r="C25" s="103" t="e">
        <f>VLOOKUP($A25,Stunden!$D:$V,3,FALSE)</f>
        <v>#N/A</v>
      </c>
      <c r="D25" s="103" t="e">
        <f>VLOOKUP($A25,Stunden!$D:$V,4,FALSE)</f>
        <v>#N/A</v>
      </c>
      <c r="E25" s="103">
        <v>0.5</v>
      </c>
      <c r="F25" s="103" t="e">
        <f t="shared" si="0"/>
        <v>#N/A</v>
      </c>
      <c r="G25" s="103"/>
      <c r="H25" s="103" t="e">
        <f>IF(VLOOKUP($A25,Stunden!$D:$V,17,FALSE)=0,"",VLOOKUP($A25,Stunden!$D:$V,17,FALSE))</f>
        <v>#N/A</v>
      </c>
      <c r="J25" s="104"/>
    </row>
    <row r="26" spans="1:10" s="105" customFormat="1" ht="20.100000000000001" customHeight="1" x14ac:dyDescent="0.25">
      <c r="A26" s="106">
        <f t="shared" si="1"/>
        <v>46244</v>
      </c>
      <c r="B26" s="103" t="e">
        <f>VLOOKUP($A26,Stunden!$D:$V,2,FALSE)</f>
        <v>#N/A</v>
      </c>
      <c r="C26" s="103" t="e">
        <f>VLOOKUP($A26,Stunden!$D:$V,3,FALSE)</f>
        <v>#N/A</v>
      </c>
      <c r="D26" s="103" t="e">
        <f>VLOOKUP($A26,Stunden!$D:$V,4,FALSE)</f>
        <v>#N/A</v>
      </c>
      <c r="E26" s="103">
        <v>0.5</v>
      </c>
      <c r="F26" s="103" t="e">
        <f t="shared" si="0"/>
        <v>#N/A</v>
      </c>
      <c r="G26" s="103"/>
      <c r="H26" s="103" t="e">
        <f>IF(VLOOKUP($A26,Stunden!$D:$V,17,FALSE)=0,"",VLOOKUP($A26,Stunden!$D:$V,17,FALSE))</f>
        <v>#N/A</v>
      </c>
      <c r="J26" s="104"/>
    </row>
    <row r="27" spans="1:10" s="105" customFormat="1" ht="20.100000000000001" customHeight="1" x14ac:dyDescent="0.25">
      <c r="A27" s="106">
        <f t="shared" si="1"/>
        <v>46245</v>
      </c>
      <c r="B27" s="103" t="e">
        <f>VLOOKUP($A27,Stunden!$D:$V,2,FALSE)</f>
        <v>#N/A</v>
      </c>
      <c r="C27" s="103" t="e">
        <f>VLOOKUP($A27,Stunden!$D:$V,3,FALSE)</f>
        <v>#N/A</v>
      </c>
      <c r="D27" s="103" t="e">
        <f>VLOOKUP($A27,Stunden!$D:$V,4,FALSE)</f>
        <v>#N/A</v>
      </c>
      <c r="E27" s="103">
        <v>0.5</v>
      </c>
      <c r="F27" s="103" t="e">
        <f t="shared" si="0"/>
        <v>#N/A</v>
      </c>
      <c r="G27" s="103"/>
      <c r="H27" s="103" t="e">
        <f>IF(VLOOKUP($A27,Stunden!$D:$V,17,FALSE)=0,"",VLOOKUP($A27,Stunden!$D:$V,17,FALSE))</f>
        <v>#N/A</v>
      </c>
      <c r="J27" s="104"/>
    </row>
    <row r="28" spans="1:10" s="105" customFormat="1" ht="20.100000000000001" customHeight="1" x14ac:dyDescent="0.25">
      <c r="A28" s="106">
        <f t="shared" si="1"/>
        <v>46246</v>
      </c>
      <c r="B28" s="103" t="e">
        <f>VLOOKUP($A28,Stunden!$D:$V,2,FALSE)</f>
        <v>#N/A</v>
      </c>
      <c r="C28" s="103" t="e">
        <f>VLOOKUP($A28,Stunden!$D:$V,3,FALSE)</f>
        <v>#N/A</v>
      </c>
      <c r="D28" s="103" t="e">
        <f>VLOOKUP($A28,Stunden!$D:$V,4,FALSE)</f>
        <v>#N/A</v>
      </c>
      <c r="E28" s="103">
        <v>0.5</v>
      </c>
      <c r="F28" s="103" t="e">
        <f t="shared" si="0"/>
        <v>#N/A</v>
      </c>
      <c r="G28" s="103"/>
      <c r="H28" s="103" t="e">
        <f>IF(VLOOKUP($A28,Stunden!$D:$V,17,FALSE)=0,"",VLOOKUP($A28,Stunden!$D:$V,17,FALSE))</f>
        <v>#N/A</v>
      </c>
      <c r="J28" s="104"/>
    </row>
    <row r="29" spans="1:10" s="105" customFormat="1" ht="20.100000000000001" customHeight="1" x14ac:dyDescent="0.25">
      <c r="A29" s="106">
        <f t="shared" si="1"/>
        <v>46247</v>
      </c>
      <c r="B29" s="103" t="e">
        <f>VLOOKUP($A29,Stunden!$D:$V,2,FALSE)</f>
        <v>#N/A</v>
      </c>
      <c r="C29" s="103" t="e">
        <f>VLOOKUP($A29,Stunden!$D:$V,3,FALSE)</f>
        <v>#N/A</v>
      </c>
      <c r="D29" s="103" t="e">
        <f>VLOOKUP($A29,Stunden!$D:$V,4,FALSE)</f>
        <v>#N/A</v>
      </c>
      <c r="E29" s="103">
        <v>0.5</v>
      </c>
      <c r="F29" s="103" t="e">
        <f t="shared" si="0"/>
        <v>#N/A</v>
      </c>
      <c r="G29" s="103"/>
      <c r="H29" s="103" t="e">
        <f>IF(VLOOKUP($A29,Stunden!$D:$V,17,FALSE)=0,"",VLOOKUP($A29,Stunden!$D:$V,17,FALSE))</f>
        <v>#N/A</v>
      </c>
      <c r="J29" s="104"/>
    </row>
    <row r="30" spans="1:10" s="105" customFormat="1" ht="20.100000000000001" customHeight="1" x14ac:dyDescent="0.25">
      <c r="A30" s="106">
        <f t="shared" si="1"/>
        <v>46248</v>
      </c>
      <c r="B30" s="103" t="e">
        <f>VLOOKUP($A30,Stunden!$D:$V,2,FALSE)</f>
        <v>#N/A</v>
      </c>
      <c r="C30" s="103" t="e">
        <f>VLOOKUP($A30,Stunden!$D:$V,3,FALSE)</f>
        <v>#N/A</v>
      </c>
      <c r="D30" s="103" t="e">
        <f>VLOOKUP($A30,Stunden!$D:$V,4,FALSE)</f>
        <v>#N/A</v>
      </c>
      <c r="E30" s="103">
        <v>0.5</v>
      </c>
      <c r="F30" s="103" t="e">
        <f t="shared" si="0"/>
        <v>#N/A</v>
      </c>
      <c r="G30" s="103"/>
      <c r="H30" s="103" t="e">
        <f>IF(VLOOKUP($A30,Stunden!$D:$V,17,FALSE)=0,"",VLOOKUP($A30,Stunden!$D:$V,17,FALSE))</f>
        <v>#N/A</v>
      </c>
      <c r="J30" s="104"/>
    </row>
    <row r="31" spans="1:10" s="105" customFormat="1" ht="20.100000000000001" customHeight="1" x14ac:dyDescent="0.25">
      <c r="A31" s="106">
        <f t="shared" si="1"/>
        <v>46249</v>
      </c>
      <c r="B31" s="103" t="e">
        <f>VLOOKUP($A31,Stunden!$D:$V,2,FALSE)</f>
        <v>#N/A</v>
      </c>
      <c r="C31" s="103" t="e">
        <f>VLOOKUP($A31,Stunden!$D:$V,3,FALSE)</f>
        <v>#N/A</v>
      </c>
      <c r="D31" s="103" t="e">
        <f>VLOOKUP($A31,Stunden!$D:$V,4,FALSE)</f>
        <v>#N/A</v>
      </c>
      <c r="E31" s="103">
        <v>0.5</v>
      </c>
      <c r="F31" s="103" t="e">
        <f t="shared" si="0"/>
        <v>#N/A</v>
      </c>
      <c r="G31" s="103"/>
      <c r="H31" s="103" t="e">
        <f>IF(VLOOKUP($A31,Stunden!$D:$V,17,FALSE)=0,"",VLOOKUP($A31,Stunden!$D:$V,17,FALSE))</f>
        <v>#N/A</v>
      </c>
      <c r="J31" s="104"/>
    </row>
    <row r="32" spans="1:10" s="105" customFormat="1" ht="20.100000000000001" customHeight="1" x14ac:dyDescent="0.25">
      <c r="A32" s="106">
        <f t="shared" si="1"/>
        <v>46250</v>
      </c>
      <c r="B32" s="103" t="e">
        <f>VLOOKUP($A32,Stunden!$D:$V,2,FALSE)</f>
        <v>#N/A</v>
      </c>
      <c r="C32" s="103" t="e">
        <f>VLOOKUP($A32,Stunden!$D:$V,3,FALSE)</f>
        <v>#N/A</v>
      </c>
      <c r="D32" s="103" t="e">
        <f>VLOOKUP($A32,Stunden!$D:$V,4,FALSE)</f>
        <v>#N/A</v>
      </c>
      <c r="E32" s="103">
        <v>0.5</v>
      </c>
      <c r="F32" s="103" t="e">
        <f t="shared" si="0"/>
        <v>#N/A</v>
      </c>
      <c r="G32" s="103"/>
      <c r="H32" s="103" t="e">
        <f>IF(VLOOKUP($A32,Stunden!$D:$V,17,FALSE)=0,"",VLOOKUP($A32,Stunden!$D:$V,17,FALSE))</f>
        <v>#N/A</v>
      </c>
      <c r="J32" s="104"/>
    </row>
    <row r="33" spans="1:10" s="105" customFormat="1" ht="20.100000000000001" customHeight="1" x14ac:dyDescent="0.25">
      <c r="A33" s="106">
        <f t="shared" si="1"/>
        <v>46251</v>
      </c>
      <c r="B33" s="103" t="e">
        <f>VLOOKUP($A33,Stunden!$D:$V,2,FALSE)</f>
        <v>#N/A</v>
      </c>
      <c r="C33" s="103" t="e">
        <f>VLOOKUP($A33,Stunden!$D:$V,3,FALSE)</f>
        <v>#N/A</v>
      </c>
      <c r="D33" s="103" t="e">
        <f>VLOOKUP($A33,Stunden!$D:$V,4,FALSE)</f>
        <v>#N/A</v>
      </c>
      <c r="E33" s="103">
        <v>0.5</v>
      </c>
      <c r="F33" s="103" t="e">
        <f t="shared" si="0"/>
        <v>#N/A</v>
      </c>
      <c r="G33" s="103"/>
      <c r="H33" s="103" t="e">
        <f>IF(VLOOKUP($A33,Stunden!$D:$V,17,FALSE)=0,"",VLOOKUP($A33,Stunden!$D:$V,17,FALSE))</f>
        <v>#N/A</v>
      </c>
      <c r="J33" s="104"/>
    </row>
    <row r="34" spans="1:10" s="105" customFormat="1" ht="20.100000000000001" customHeight="1" x14ac:dyDescent="0.25">
      <c r="A34" s="106">
        <f t="shared" si="1"/>
        <v>46252</v>
      </c>
      <c r="B34" s="103" t="e">
        <f>VLOOKUP($A34,Stunden!$D:$V,2,FALSE)</f>
        <v>#N/A</v>
      </c>
      <c r="C34" s="103" t="e">
        <f>VLOOKUP($A34,Stunden!$D:$V,3,FALSE)</f>
        <v>#N/A</v>
      </c>
      <c r="D34" s="103" t="e">
        <f>VLOOKUP($A34,Stunden!$D:$V,4,FALSE)</f>
        <v>#N/A</v>
      </c>
      <c r="E34" s="103">
        <v>0.5</v>
      </c>
      <c r="F34" s="103" t="e">
        <f t="shared" si="0"/>
        <v>#N/A</v>
      </c>
      <c r="G34" s="103"/>
      <c r="H34" s="103" t="e">
        <f>IF(VLOOKUP($A34,Stunden!$D:$V,17,FALSE)=0,"",VLOOKUP($A34,Stunden!$D:$V,17,FALSE))</f>
        <v>#N/A</v>
      </c>
      <c r="J34" s="104"/>
    </row>
    <row r="35" spans="1:10" s="105" customFormat="1" ht="20.100000000000001" customHeight="1" x14ac:dyDescent="0.25">
      <c r="A35" s="106">
        <f t="shared" si="1"/>
        <v>46253</v>
      </c>
      <c r="B35" s="103" t="e">
        <f>VLOOKUP($A35,Stunden!$D:$V,2,FALSE)</f>
        <v>#N/A</v>
      </c>
      <c r="C35" s="103" t="e">
        <f>VLOOKUP($A35,Stunden!$D:$V,3,FALSE)</f>
        <v>#N/A</v>
      </c>
      <c r="D35" s="103" t="e">
        <f>VLOOKUP($A35,Stunden!$D:$V,4,FALSE)</f>
        <v>#N/A</v>
      </c>
      <c r="E35" s="103">
        <v>0.5</v>
      </c>
      <c r="F35" s="103" t="e">
        <f t="shared" si="0"/>
        <v>#N/A</v>
      </c>
      <c r="G35" s="103"/>
      <c r="H35" s="103" t="e">
        <f>IF(VLOOKUP($A35,Stunden!$D:$V,17,FALSE)=0,"",VLOOKUP($A35,Stunden!$D:$V,17,FALSE))</f>
        <v>#N/A</v>
      </c>
      <c r="J35" s="104"/>
    </row>
    <row r="36" spans="1:10" s="105" customFormat="1" ht="20.100000000000001" customHeight="1" x14ac:dyDescent="0.25">
      <c r="A36" s="106">
        <f t="shared" si="1"/>
        <v>46254</v>
      </c>
      <c r="B36" s="103" t="e">
        <f>VLOOKUP($A36,Stunden!$D:$V,2,FALSE)</f>
        <v>#N/A</v>
      </c>
      <c r="C36" s="103" t="e">
        <f>VLOOKUP($A36,Stunden!$D:$V,3,FALSE)</f>
        <v>#N/A</v>
      </c>
      <c r="D36" s="103" t="e">
        <f>VLOOKUP($A36,Stunden!$D:$V,4,FALSE)</f>
        <v>#N/A</v>
      </c>
      <c r="E36" s="103">
        <v>0.5</v>
      </c>
      <c r="F36" s="103" t="e">
        <f t="shared" si="0"/>
        <v>#N/A</v>
      </c>
      <c r="G36" s="103"/>
      <c r="H36" s="103" t="e">
        <f>IF(VLOOKUP($A36,Stunden!$D:$V,17,FALSE)=0,"",VLOOKUP($A36,Stunden!$D:$V,17,FALSE))</f>
        <v>#N/A</v>
      </c>
      <c r="J36" s="104"/>
    </row>
    <row r="37" spans="1:10" s="105" customFormat="1" ht="20.100000000000001" customHeight="1" x14ac:dyDescent="0.25">
      <c r="A37" s="106">
        <f t="shared" si="1"/>
        <v>46255</v>
      </c>
      <c r="B37" s="103" t="e">
        <f>VLOOKUP($A37,Stunden!$D:$V,2,FALSE)</f>
        <v>#N/A</v>
      </c>
      <c r="C37" s="103" t="e">
        <f>VLOOKUP($A37,Stunden!$D:$V,3,FALSE)</f>
        <v>#N/A</v>
      </c>
      <c r="D37" s="103" t="e">
        <f>VLOOKUP($A37,Stunden!$D:$V,4,FALSE)</f>
        <v>#N/A</v>
      </c>
      <c r="E37" s="103">
        <v>0.5</v>
      </c>
      <c r="F37" s="103" t="e">
        <f t="shared" si="0"/>
        <v>#N/A</v>
      </c>
      <c r="G37" s="103"/>
      <c r="H37" s="103" t="e">
        <f>IF(VLOOKUP($A37,Stunden!$D:$V,17,FALSE)=0,"",VLOOKUP($A37,Stunden!$D:$V,17,FALSE))</f>
        <v>#N/A</v>
      </c>
      <c r="J37" s="104"/>
    </row>
    <row r="38" spans="1:10" s="105" customFormat="1" ht="20.100000000000001" customHeight="1" x14ac:dyDescent="0.25">
      <c r="A38" s="106">
        <f t="shared" si="1"/>
        <v>46256</v>
      </c>
      <c r="B38" s="103" t="e">
        <f>VLOOKUP($A38,Stunden!$D:$V,2,FALSE)</f>
        <v>#N/A</v>
      </c>
      <c r="C38" s="103" t="e">
        <f>VLOOKUP($A38,Stunden!$D:$V,3,FALSE)</f>
        <v>#N/A</v>
      </c>
      <c r="D38" s="103" t="e">
        <f>VLOOKUP($A38,Stunden!$D:$V,4,FALSE)</f>
        <v>#N/A</v>
      </c>
      <c r="E38" s="103">
        <v>0.5</v>
      </c>
      <c r="F38" s="103" t="e">
        <f t="shared" si="0"/>
        <v>#N/A</v>
      </c>
      <c r="G38" s="103"/>
      <c r="H38" s="103" t="e">
        <f>IF(VLOOKUP($A38,Stunden!$D:$V,17,FALSE)=0,"",VLOOKUP($A38,Stunden!$D:$V,17,FALSE))</f>
        <v>#N/A</v>
      </c>
      <c r="J38" s="104"/>
    </row>
    <row r="39" spans="1:10" s="105" customFormat="1" ht="20.100000000000001" customHeight="1" x14ac:dyDescent="0.25">
      <c r="A39" s="106">
        <f t="shared" si="1"/>
        <v>46257</v>
      </c>
      <c r="B39" s="103" t="e">
        <f>VLOOKUP($A39,Stunden!$D:$V,2,FALSE)</f>
        <v>#N/A</v>
      </c>
      <c r="C39" s="103" t="e">
        <f>VLOOKUP($A39,Stunden!$D:$V,3,FALSE)</f>
        <v>#N/A</v>
      </c>
      <c r="D39" s="103" t="e">
        <f>VLOOKUP($A39,Stunden!$D:$V,4,FALSE)</f>
        <v>#N/A</v>
      </c>
      <c r="E39" s="103">
        <v>0.5</v>
      </c>
      <c r="F39" s="103" t="e">
        <f t="shared" si="0"/>
        <v>#N/A</v>
      </c>
      <c r="G39" s="103"/>
      <c r="H39" s="103" t="e">
        <f>IF(VLOOKUP($A39,Stunden!$D:$V,17,FALSE)=0,"",VLOOKUP($A39,Stunden!$D:$V,17,FALSE))</f>
        <v>#N/A</v>
      </c>
      <c r="J39" s="104"/>
    </row>
    <row r="40" spans="1:10" s="105" customFormat="1" ht="20.100000000000001" customHeight="1" x14ac:dyDescent="0.25">
      <c r="A40" s="106">
        <f t="shared" si="1"/>
        <v>46258</v>
      </c>
      <c r="B40" s="103" t="e">
        <f>VLOOKUP($A40,Stunden!$D:$V,2,FALSE)</f>
        <v>#N/A</v>
      </c>
      <c r="C40" s="103" t="e">
        <f>VLOOKUP($A40,Stunden!$D:$V,3,FALSE)</f>
        <v>#N/A</v>
      </c>
      <c r="D40" s="103" t="e">
        <f>VLOOKUP($A40,Stunden!$D:$V,4,FALSE)</f>
        <v>#N/A</v>
      </c>
      <c r="E40" s="103">
        <v>0.5</v>
      </c>
      <c r="F40" s="103" t="e">
        <f t="shared" si="0"/>
        <v>#N/A</v>
      </c>
      <c r="G40" s="103"/>
      <c r="H40" s="103" t="e">
        <f>IF(VLOOKUP($A40,Stunden!$D:$V,17,FALSE)=0,"",VLOOKUP($A40,Stunden!$D:$V,17,FALSE))</f>
        <v>#N/A</v>
      </c>
      <c r="J40" s="104"/>
    </row>
    <row r="41" spans="1:10" s="105" customFormat="1" ht="20.100000000000001" customHeight="1" x14ac:dyDescent="0.25">
      <c r="A41" s="106">
        <f t="shared" si="1"/>
        <v>46259</v>
      </c>
      <c r="B41" s="103" t="e">
        <f>VLOOKUP($A41,Stunden!$D:$V,2,FALSE)</f>
        <v>#N/A</v>
      </c>
      <c r="C41" s="103" t="e">
        <f>VLOOKUP($A41,Stunden!$D:$V,3,FALSE)</f>
        <v>#N/A</v>
      </c>
      <c r="D41" s="103" t="e">
        <f>VLOOKUP($A41,Stunden!$D:$V,4,FALSE)</f>
        <v>#N/A</v>
      </c>
      <c r="E41" s="103">
        <v>0.5</v>
      </c>
      <c r="F41" s="103" t="e">
        <f t="shared" si="0"/>
        <v>#N/A</v>
      </c>
      <c r="G41" s="103"/>
      <c r="H41" s="103" t="e">
        <f>IF(VLOOKUP($A41,Stunden!$D:$V,17,FALSE)=0,"",VLOOKUP($A41,Stunden!$D:$V,17,FALSE))</f>
        <v>#N/A</v>
      </c>
      <c r="J41" s="104"/>
    </row>
    <row r="42" spans="1:10" s="105" customFormat="1" ht="20.100000000000001" customHeight="1" x14ac:dyDescent="0.25">
      <c r="A42" s="106">
        <f t="shared" si="1"/>
        <v>46260</v>
      </c>
      <c r="B42" s="103" t="e">
        <f>VLOOKUP($A42,Stunden!$D:$V,2,FALSE)</f>
        <v>#N/A</v>
      </c>
      <c r="C42" s="103" t="e">
        <f>VLOOKUP($A42,Stunden!$D:$V,3,FALSE)</f>
        <v>#N/A</v>
      </c>
      <c r="D42" s="103" t="e">
        <f>VLOOKUP($A42,Stunden!$D:$V,4,FALSE)</f>
        <v>#N/A</v>
      </c>
      <c r="E42" s="103">
        <v>0.5</v>
      </c>
      <c r="F42" s="103" t="e">
        <f t="shared" si="0"/>
        <v>#N/A</v>
      </c>
      <c r="G42" s="103"/>
      <c r="H42" s="103" t="e">
        <f>IF(VLOOKUP($A42,Stunden!$D:$V,17,FALSE)=0,"",VLOOKUP($A42,Stunden!$D:$V,17,FALSE))</f>
        <v>#N/A</v>
      </c>
      <c r="J42" s="104"/>
    </row>
    <row r="43" spans="1:10" s="105" customFormat="1" ht="20.100000000000001" customHeight="1" x14ac:dyDescent="0.25">
      <c r="A43" s="106">
        <f t="shared" si="1"/>
        <v>46261</v>
      </c>
      <c r="B43" s="103" t="e">
        <f>VLOOKUP($A43,Stunden!$D:$V,2,FALSE)</f>
        <v>#N/A</v>
      </c>
      <c r="C43" s="103" t="e">
        <f>VLOOKUP($A43,Stunden!$D:$V,3,FALSE)</f>
        <v>#N/A</v>
      </c>
      <c r="D43" s="103" t="e">
        <f>VLOOKUP($A43,Stunden!$D:$V,4,FALSE)</f>
        <v>#N/A</v>
      </c>
      <c r="E43" s="103">
        <v>0.5</v>
      </c>
      <c r="F43" s="103" t="e">
        <f t="shared" si="0"/>
        <v>#N/A</v>
      </c>
      <c r="G43" s="103"/>
      <c r="H43" s="103" t="e">
        <f>IF(VLOOKUP($A43,Stunden!$D:$V,17,FALSE)=0,"",VLOOKUP($A43,Stunden!$D:$V,17,FALSE))</f>
        <v>#N/A</v>
      </c>
      <c r="J43" s="104"/>
    </row>
    <row r="44" spans="1:10" s="105" customFormat="1" ht="20.100000000000001" customHeight="1" x14ac:dyDescent="0.25">
      <c r="A44" s="106">
        <f t="shared" si="1"/>
        <v>46262</v>
      </c>
      <c r="B44" s="103" t="e">
        <f>VLOOKUP($A44,Stunden!$D:$V,2,FALSE)</f>
        <v>#N/A</v>
      </c>
      <c r="C44" s="103" t="e">
        <f>VLOOKUP($A44,Stunden!$D:$V,3,FALSE)</f>
        <v>#N/A</v>
      </c>
      <c r="D44" s="103" t="e">
        <f>VLOOKUP($A44,Stunden!$D:$V,4,FALSE)</f>
        <v>#N/A</v>
      </c>
      <c r="E44" s="103">
        <v>0.5</v>
      </c>
      <c r="F44" s="103" t="e">
        <f t="shared" si="0"/>
        <v>#N/A</v>
      </c>
      <c r="G44" s="103"/>
      <c r="H44" s="103" t="e">
        <f>IF(VLOOKUP($A44,Stunden!$D:$V,17,FALSE)=0,"",VLOOKUP($A44,Stunden!$D:$V,17,FALSE))</f>
        <v>#N/A</v>
      </c>
      <c r="J44" s="104"/>
    </row>
    <row r="45" spans="1:10" s="105" customFormat="1" ht="20.100000000000001" customHeight="1" x14ac:dyDescent="0.25">
      <c r="A45" s="106">
        <f t="shared" si="1"/>
        <v>46263</v>
      </c>
      <c r="B45" s="103" t="e">
        <f>VLOOKUP($A45,Stunden!$D:$V,2,FALSE)</f>
        <v>#N/A</v>
      </c>
      <c r="C45" s="103" t="e">
        <f>VLOOKUP($A45,Stunden!$D:$V,3,FALSE)</f>
        <v>#N/A</v>
      </c>
      <c r="D45" s="103" t="e">
        <f>VLOOKUP($A45,Stunden!$D:$V,4,FALSE)</f>
        <v>#N/A</v>
      </c>
      <c r="E45" s="103">
        <v>0.5</v>
      </c>
      <c r="F45" s="103" t="e">
        <f t="shared" si="0"/>
        <v>#N/A</v>
      </c>
      <c r="G45" s="103"/>
      <c r="H45" s="103" t="e">
        <f>IF(VLOOKUP($A45,Stunden!$D:$V,17,FALSE)=0,"",VLOOKUP($A45,Stunden!$D:$V,17,FALSE))</f>
        <v>#N/A</v>
      </c>
      <c r="J45" s="104"/>
    </row>
    <row r="46" spans="1:10" s="105" customFormat="1" ht="20.100000000000001" customHeight="1" x14ac:dyDescent="0.25">
      <c r="A46" s="106">
        <f t="shared" si="1"/>
        <v>46264</v>
      </c>
      <c r="B46" s="103" t="e">
        <f>VLOOKUP($A46,Stunden!$D:$V,2,FALSE)</f>
        <v>#N/A</v>
      </c>
      <c r="C46" s="103" t="e">
        <f>VLOOKUP($A46,Stunden!$D:$V,3,FALSE)</f>
        <v>#N/A</v>
      </c>
      <c r="D46" s="103" t="e">
        <f>VLOOKUP($A46,Stunden!$D:$V,4,FALSE)</f>
        <v>#N/A</v>
      </c>
      <c r="E46" s="103">
        <v>0.5</v>
      </c>
      <c r="F46" s="103" t="e">
        <f t="shared" si="0"/>
        <v>#N/A</v>
      </c>
      <c r="G46" s="103"/>
      <c r="H46" s="103" t="e">
        <f>IF(VLOOKUP($A46,Stunden!$D:$V,17,FALSE)=0,"",VLOOKUP($A46,Stunden!$D:$V,17,FALSE))</f>
        <v>#N/A</v>
      </c>
      <c r="J46" s="104"/>
    </row>
    <row r="47" spans="1:10" s="105" customFormat="1" ht="20.100000000000001" customHeight="1" x14ac:dyDescent="0.25">
      <c r="A47" s="106">
        <f t="shared" si="1"/>
        <v>46265</v>
      </c>
      <c r="B47" s="103" t="e">
        <f>VLOOKUP($A47,Stunden!$D:$V,2,FALSE)</f>
        <v>#N/A</v>
      </c>
      <c r="C47" s="103" t="e">
        <f>VLOOKUP($A47,Stunden!$D:$V,3,FALSE)</f>
        <v>#N/A</v>
      </c>
      <c r="D47" s="103" t="e">
        <f>VLOOKUP($A47,Stunden!$D:$V,4,FALSE)</f>
        <v>#N/A</v>
      </c>
      <c r="E47" s="103">
        <v>0.5</v>
      </c>
      <c r="F47" s="103" t="e">
        <f t="shared" si="0"/>
        <v>#N/A</v>
      </c>
      <c r="G47" s="103"/>
      <c r="H47" s="103" t="e">
        <f>IF(VLOOKUP($A47,Stunden!$D:$V,17,FALSE)=0,"",VLOOKUP($A47,Stunden!$D:$V,17,FALSE))</f>
        <v>#N/A</v>
      </c>
      <c r="J47" s="104"/>
    </row>
    <row r="49" spans="10:10" x14ac:dyDescent="0.2">
      <c r="J49" s="119"/>
    </row>
  </sheetData>
  <mergeCells count="2">
    <mergeCell ref="C6:G6"/>
    <mergeCell ref="C11:G11"/>
  </mergeCells>
  <pageMargins left="0.70866141732283472" right="0.31496062992125984" top="0.39370078740157483" bottom="0.39370078740157483" header="0.31496062992125984" footer="0.31496062992125984"/>
  <pageSetup paperSize="9" scale="68" orientation="portrait" r:id="rId1"/>
  <headerFooter>
    <oddFooter>&amp;C_x000D_&amp;1#&amp;"Arial"&amp;8&amp;K869197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2</xdr:col>
                    <xdr:colOff>447675</xdr:colOff>
                    <xdr:row>6</xdr:row>
                    <xdr:rowOff>142875</xdr:rowOff>
                  </from>
                  <to>
                    <xdr:col>2</xdr:col>
                    <xdr:colOff>752475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476250</xdr:colOff>
                    <xdr:row>6</xdr:row>
                    <xdr:rowOff>38100</xdr:rowOff>
                  </from>
                  <to>
                    <xdr:col>5</xdr:col>
                    <xdr:colOff>142875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752475</xdr:colOff>
                    <xdr:row>7</xdr:row>
                    <xdr:rowOff>152400</xdr:rowOff>
                  </from>
                  <to>
                    <xdr:col>5</xdr:col>
                    <xdr:colOff>419100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3</xdr:col>
                    <xdr:colOff>47625</xdr:colOff>
                    <xdr:row>7</xdr:row>
                    <xdr:rowOff>152400</xdr:rowOff>
                  </from>
                  <to>
                    <xdr:col>3</xdr:col>
                    <xdr:colOff>485775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3</xdr:col>
                    <xdr:colOff>438150</xdr:colOff>
                    <xdr:row>6</xdr:row>
                    <xdr:rowOff>47625</xdr:rowOff>
                  </from>
                  <to>
                    <xdr:col>4</xdr:col>
                    <xdr:colOff>104775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B89E3-DBDF-4005-8E48-39CCC02AE4AE}">
  <sheetPr codeName="Sheet17">
    <pageSetUpPr fitToPage="1"/>
  </sheetPr>
  <dimension ref="A6:J49"/>
  <sheetViews>
    <sheetView topLeftCell="A7" zoomScale="85" zoomScaleNormal="85" workbookViewId="0">
      <selection activeCell="C7" sqref="C7"/>
    </sheetView>
  </sheetViews>
  <sheetFormatPr defaultColWidth="11.42578125" defaultRowHeight="14.25" x14ac:dyDescent="0.2"/>
  <cols>
    <col min="1" max="1" width="12.85546875" style="98" customWidth="1"/>
    <col min="2" max="7" width="11.42578125" style="98"/>
    <col min="8" max="8" width="53.42578125" style="98" customWidth="1"/>
    <col min="9" max="16384" width="11.42578125" style="98"/>
  </cols>
  <sheetData>
    <row r="6" spans="1:8" ht="15" x14ac:dyDescent="0.25">
      <c r="A6" s="97" t="s">
        <v>172</v>
      </c>
      <c r="C6" s="228" t="str">
        <f>'pers. Daten'!O6</f>
        <v>Burke, André</v>
      </c>
      <c r="D6" s="228"/>
      <c r="E6" s="228"/>
      <c r="F6" s="228"/>
      <c r="G6" s="228"/>
    </row>
    <row r="7" spans="1:8" x14ac:dyDescent="0.2">
      <c r="C7" s="100"/>
    </row>
    <row r="8" spans="1:8" ht="15" x14ac:dyDescent="0.25">
      <c r="A8" s="97" t="s">
        <v>173</v>
      </c>
      <c r="C8" s="100" t="s">
        <v>174</v>
      </c>
      <c r="D8" s="98" t="s">
        <v>175</v>
      </c>
      <c r="E8" s="98" t="s">
        <v>176</v>
      </c>
      <c r="F8" s="98" t="s">
        <v>177</v>
      </c>
    </row>
    <row r="9" spans="1:8" ht="23.25" customHeight="1" x14ac:dyDescent="0.2">
      <c r="C9" s="100" t="s">
        <v>178</v>
      </c>
      <c r="E9" s="98" t="s">
        <v>179</v>
      </c>
    </row>
    <row r="10" spans="1:8" x14ac:dyDescent="0.2">
      <c r="C10" s="100"/>
    </row>
    <row r="11" spans="1:8" ht="15" x14ac:dyDescent="0.25">
      <c r="A11" s="97" t="s">
        <v>31</v>
      </c>
      <c r="C11" s="228" t="str">
        <f>'pers. Daten'!O1</f>
        <v>??</v>
      </c>
      <c r="D11" s="228"/>
      <c r="E11" s="228"/>
      <c r="F11" s="228"/>
      <c r="G11" s="228"/>
    </row>
    <row r="12" spans="1:8" x14ac:dyDescent="0.2">
      <c r="C12" s="100"/>
      <c r="H12" s="107"/>
    </row>
    <row r="13" spans="1:8" ht="15" x14ac:dyDescent="0.25">
      <c r="A13" s="97" t="s">
        <v>180</v>
      </c>
      <c r="C13" s="99">
        <f>MONTH(A17)</f>
        <v>9</v>
      </c>
      <c r="D13" s="108" t="str">
        <f>TEXT(DATE(1,C13,1),"MMMM")</f>
        <v>September</v>
      </c>
      <c r="E13" s="108"/>
      <c r="F13" s="108"/>
      <c r="G13" s="108"/>
    </row>
    <row r="16" spans="1:8" s="101" customFormat="1" ht="33" customHeight="1" x14ac:dyDescent="0.25">
      <c r="B16" s="102" t="s">
        <v>181</v>
      </c>
      <c r="C16" s="102" t="s">
        <v>182</v>
      </c>
      <c r="D16" s="102" t="s">
        <v>185</v>
      </c>
      <c r="E16" s="102" t="s">
        <v>186</v>
      </c>
      <c r="F16" s="102" t="s">
        <v>183</v>
      </c>
      <c r="G16" s="102"/>
      <c r="H16" s="102" t="s">
        <v>184</v>
      </c>
    </row>
    <row r="17" spans="1:10" s="105" customFormat="1" ht="20.100000000000001" customHeight="1" x14ac:dyDescent="0.25">
      <c r="A17" s="106">
        <v>46266</v>
      </c>
      <c r="B17" s="103" t="e">
        <f>VLOOKUP($A17,Stunden!$D:$V,2,FALSE)</f>
        <v>#N/A</v>
      </c>
      <c r="C17" s="103" t="e">
        <f>VLOOKUP($A17,Stunden!$D:$V,3,FALSE)</f>
        <v>#N/A</v>
      </c>
      <c r="D17" s="103" t="e">
        <f>VLOOKUP($A17,Stunden!$D:$V,4,FALSE)</f>
        <v>#N/A</v>
      </c>
      <c r="E17" s="103">
        <v>0.5</v>
      </c>
      <c r="F17" s="103" t="e">
        <f>E17+D17</f>
        <v>#N/A</v>
      </c>
      <c r="G17" s="103"/>
      <c r="H17" s="103" t="e">
        <f>IF(VLOOKUP($A17,Stunden!$D:$V,17,FALSE)=0,"",VLOOKUP($A17,Stunden!$D:$V,17,FALSE))</f>
        <v>#N/A</v>
      </c>
      <c r="I17" s="104"/>
      <c r="J17" s="104"/>
    </row>
    <row r="18" spans="1:10" s="105" customFormat="1" ht="20.100000000000001" customHeight="1" x14ac:dyDescent="0.25">
      <c r="A18" s="106">
        <f>A17+1</f>
        <v>46267</v>
      </c>
      <c r="B18" s="103" t="e">
        <f>VLOOKUP($A18,Stunden!$D:$V,2,FALSE)</f>
        <v>#N/A</v>
      </c>
      <c r="C18" s="103" t="e">
        <f>VLOOKUP($A18,Stunden!$D:$V,3,FALSE)</f>
        <v>#N/A</v>
      </c>
      <c r="D18" s="103" t="e">
        <f>VLOOKUP($A18,Stunden!$D:$V,4,FALSE)</f>
        <v>#N/A</v>
      </c>
      <c r="E18" s="103">
        <v>0.5</v>
      </c>
      <c r="F18" s="103" t="e">
        <f t="shared" ref="F18:F47" si="0">E18+D18</f>
        <v>#N/A</v>
      </c>
      <c r="G18" s="103"/>
      <c r="H18" s="103" t="e">
        <f>IF(VLOOKUP($A18,Stunden!$D:$V,17,FALSE)=0,"",VLOOKUP($A18,Stunden!$D:$V,17,FALSE))</f>
        <v>#N/A</v>
      </c>
      <c r="I18" s="104"/>
      <c r="J18" s="104"/>
    </row>
    <row r="19" spans="1:10" s="105" customFormat="1" ht="20.100000000000001" customHeight="1" x14ac:dyDescent="0.25">
      <c r="A19" s="106">
        <f t="shared" ref="A19:A47" si="1">A18+1</f>
        <v>46268</v>
      </c>
      <c r="B19" s="103" t="e">
        <f>VLOOKUP($A19,Stunden!$D:$V,2,FALSE)</f>
        <v>#N/A</v>
      </c>
      <c r="C19" s="103" t="e">
        <f>VLOOKUP($A19,Stunden!$D:$V,3,FALSE)</f>
        <v>#N/A</v>
      </c>
      <c r="D19" s="103" t="e">
        <f>VLOOKUP($A19,Stunden!$D:$V,4,FALSE)</f>
        <v>#N/A</v>
      </c>
      <c r="E19" s="103">
        <v>0.5</v>
      </c>
      <c r="F19" s="103" t="e">
        <f t="shared" si="0"/>
        <v>#N/A</v>
      </c>
      <c r="G19" s="103"/>
      <c r="H19" s="103" t="e">
        <f>IF(VLOOKUP($A19,Stunden!$D:$V,17,FALSE)=0,"",VLOOKUP($A19,Stunden!$D:$V,17,FALSE))</f>
        <v>#N/A</v>
      </c>
      <c r="I19" s="104"/>
      <c r="J19" s="104"/>
    </row>
    <row r="20" spans="1:10" s="105" customFormat="1" ht="20.100000000000001" customHeight="1" x14ac:dyDescent="0.25">
      <c r="A20" s="106">
        <f t="shared" si="1"/>
        <v>46269</v>
      </c>
      <c r="B20" s="103" t="e">
        <f>VLOOKUP($A20,Stunden!$D:$V,2,FALSE)</f>
        <v>#N/A</v>
      </c>
      <c r="C20" s="103" t="e">
        <f>VLOOKUP($A20,Stunden!$D:$V,3,FALSE)</f>
        <v>#N/A</v>
      </c>
      <c r="D20" s="103" t="e">
        <f>VLOOKUP($A20,Stunden!$D:$V,4,FALSE)</f>
        <v>#N/A</v>
      </c>
      <c r="E20" s="103">
        <v>0.5</v>
      </c>
      <c r="F20" s="103" t="e">
        <f t="shared" si="0"/>
        <v>#N/A</v>
      </c>
      <c r="G20" s="103"/>
      <c r="H20" s="103" t="e">
        <f>IF(VLOOKUP($A20,Stunden!$D:$V,17,FALSE)=0,"",VLOOKUP($A20,Stunden!$D:$V,17,FALSE))</f>
        <v>#N/A</v>
      </c>
      <c r="I20" s="104"/>
      <c r="J20" s="104"/>
    </row>
    <row r="21" spans="1:10" s="105" customFormat="1" ht="20.100000000000001" customHeight="1" x14ac:dyDescent="0.25">
      <c r="A21" s="106">
        <f t="shared" si="1"/>
        <v>46270</v>
      </c>
      <c r="B21" s="103" t="e">
        <f>VLOOKUP($A21,Stunden!$D:$V,2,FALSE)</f>
        <v>#N/A</v>
      </c>
      <c r="C21" s="103" t="e">
        <f>VLOOKUP($A21,Stunden!$D:$V,3,FALSE)</f>
        <v>#N/A</v>
      </c>
      <c r="D21" s="103" t="e">
        <f>VLOOKUP($A21,Stunden!$D:$V,4,FALSE)</f>
        <v>#N/A</v>
      </c>
      <c r="E21" s="103">
        <v>0.5</v>
      </c>
      <c r="F21" s="103" t="e">
        <f t="shared" si="0"/>
        <v>#N/A</v>
      </c>
      <c r="G21" s="103"/>
      <c r="H21" s="103" t="e">
        <f>IF(VLOOKUP($A21,Stunden!$D:$V,17,FALSE)=0,"",VLOOKUP($A21,Stunden!$D:$V,17,FALSE))</f>
        <v>#N/A</v>
      </c>
      <c r="I21" s="104"/>
      <c r="J21" s="104"/>
    </row>
    <row r="22" spans="1:10" s="105" customFormat="1" ht="20.100000000000001" customHeight="1" x14ac:dyDescent="0.25">
      <c r="A22" s="106">
        <f t="shared" si="1"/>
        <v>46271</v>
      </c>
      <c r="B22" s="103" t="e">
        <f>VLOOKUP($A22,Stunden!$D:$V,2,FALSE)</f>
        <v>#N/A</v>
      </c>
      <c r="C22" s="103" t="e">
        <f>VLOOKUP($A22,Stunden!$D:$V,3,FALSE)</f>
        <v>#N/A</v>
      </c>
      <c r="D22" s="103" t="e">
        <f>VLOOKUP($A22,Stunden!$D:$V,4,FALSE)</f>
        <v>#N/A</v>
      </c>
      <c r="E22" s="103">
        <v>0.5</v>
      </c>
      <c r="F22" s="103" t="e">
        <f t="shared" si="0"/>
        <v>#N/A</v>
      </c>
      <c r="G22" s="103"/>
      <c r="H22" s="103" t="e">
        <f>IF(VLOOKUP($A22,Stunden!$D:$V,17,FALSE)=0,"",VLOOKUP($A22,Stunden!$D:$V,17,FALSE))</f>
        <v>#N/A</v>
      </c>
      <c r="J22" s="104"/>
    </row>
    <row r="23" spans="1:10" s="105" customFormat="1" ht="20.100000000000001" customHeight="1" x14ac:dyDescent="0.25">
      <c r="A23" s="106">
        <f t="shared" si="1"/>
        <v>46272</v>
      </c>
      <c r="B23" s="103" t="e">
        <f>VLOOKUP($A23,Stunden!$D:$V,2,FALSE)</f>
        <v>#N/A</v>
      </c>
      <c r="C23" s="103" t="e">
        <f>VLOOKUP($A23,Stunden!$D:$V,3,FALSE)</f>
        <v>#N/A</v>
      </c>
      <c r="D23" s="103" t="e">
        <f>VLOOKUP($A23,Stunden!$D:$V,4,FALSE)</f>
        <v>#N/A</v>
      </c>
      <c r="E23" s="103">
        <v>0.5</v>
      </c>
      <c r="F23" s="103" t="e">
        <f t="shared" si="0"/>
        <v>#N/A</v>
      </c>
      <c r="G23" s="103"/>
      <c r="H23" s="103" t="e">
        <f>IF(VLOOKUP($A23,Stunden!$D:$V,17,FALSE)=0,"",VLOOKUP($A23,Stunden!$D:$V,17,FALSE))</f>
        <v>#N/A</v>
      </c>
      <c r="J23" s="104"/>
    </row>
    <row r="24" spans="1:10" s="105" customFormat="1" ht="20.100000000000001" customHeight="1" x14ac:dyDescent="0.25">
      <c r="A24" s="106">
        <f t="shared" si="1"/>
        <v>46273</v>
      </c>
      <c r="B24" s="103" t="e">
        <f>VLOOKUP($A24,Stunden!$D:$V,2,FALSE)</f>
        <v>#N/A</v>
      </c>
      <c r="C24" s="103" t="e">
        <f>VLOOKUP($A24,Stunden!$D:$V,3,FALSE)</f>
        <v>#N/A</v>
      </c>
      <c r="D24" s="103" t="e">
        <f>VLOOKUP($A24,Stunden!$D:$V,4,FALSE)</f>
        <v>#N/A</v>
      </c>
      <c r="E24" s="103">
        <v>0.5</v>
      </c>
      <c r="F24" s="103" t="e">
        <f t="shared" si="0"/>
        <v>#N/A</v>
      </c>
      <c r="G24" s="103"/>
      <c r="H24" s="103" t="e">
        <f>IF(VLOOKUP($A24,Stunden!$D:$V,17,FALSE)=0,"",VLOOKUP($A24,Stunden!$D:$V,17,FALSE))</f>
        <v>#N/A</v>
      </c>
      <c r="J24" s="104"/>
    </row>
    <row r="25" spans="1:10" s="105" customFormat="1" ht="20.100000000000001" customHeight="1" x14ac:dyDescent="0.25">
      <c r="A25" s="106">
        <f t="shared" si="1"/>
        <v>46274</v>
      </c>
      <c r="B25" s="103" t="e">
        <f>VLOOKUP($A25,Stunden!$D:$V,2,FALSE)</f>
        <v>#N/A</v>
      </c>
      <c r="C25" s="103" t="e">
        <f>VLOOKUP($A25,Stunden!$D:$V,3,FALSE)</f>
        <v>#N/A</v>
      </c>
      <c r="D25" s="103" t="e">
        <f>VLOOKUP($A25,Stunden!$D:$V,4,FALSE)</f>
        <v>#N/A</v>
      </c>
      <c r="E25" s="103">
        <v>0.5</v>
      </c>
      <c r="F25" s="103" t="e">
        <f t="shared" si="0"/>
        <v>#N/A</v>
      </c>
      <c r="G25" s="103"/>
      <c r="H25" s="103" t="e">
        <f>IF(VLOOKUP($A25,Stunden!$D:$V,17,FALSE)=0,"",VLOOKUP($A25,Stunden!$D:$V,17,FALSE))</f>
        <v>#N/A</v>
      </c>
      <c r="J25" s="104"/>
    </row>
    <row r="26" spans="1:10" s="105" customFormat="1" ht="20.100000000000001" customHeight="1" x14ac:dyDescent="0.25">
      <c r="A26" s="106">
        <f t="shared" si="1"/>
        <v>46275</v>
      </c>
      <c r="B26" s="103" t="e">
        <f>VLOOKUP($A26,Stunden!$D:$V,2,FALSE)</f>
        <v>#N/A</v>
      </c>
      <c r="C26" s="103" t="e">
        <f>VLOOKUP($A26,Stunden!$D:$V,3,FALSE)</f>
        <v>#N/A</v>
      </c>
      <c r="D26" s="103" t="e">
        <f>VLOOKUP($A26,Stunden!$D:$V,4,FALSE)</f>
        <v>#N/A</v>
      </c>
      <c r="E26" s="103">
        <v>0.5</v>
      </c>
      <c r="F26" s="103" t="e">
        <f t="shared" si="0"/>
        <v>#N/A</v>
      </c>
      <c r="G26" s="103"/>
      <c r="H26" s="103" t="e">
        <f>IF(VLOOKUP($A26,Stunden!$D:$V,17,FALSE)=0,"",VLOOKUP($A26,Stunden!$D:$V,17,FALSE))</f>
        <v>#N/A</v>
      </c>
      <c r="J26" s="104"/>
    </row>
    <row r="27" spans="1:10" s="105" customFormat="1" ht="20.100000000000001" customHeight="1" x14ac:dyDescent="0.25">
      <c r="A27" s="106">
        <f t="shared" si="1"/>
        <v>46276</v>
      </c>
      <c r="B27" s="103" t="e">
        <f>VLOOKUP($A27,Stunden!$D:$V,2,FALSE)</f>
        <v>#N/A</v>
      </c>
      <c r="C27" s="103" t="e">
        <f>VLOOKUP($A27,Stunden!$D:$V,3,FALSE)</f>
        <v>#N/A</v>
      </c>
      <c r="D27" s="103" t="e">
        <f>VLOOKUP($A27,Stunden!$D:$V,4,FALSE)</f>
        <v>#N/A</v>
      </c>
      <c r="E27" s="103">
        <v>0.5</v>
      </c>
      <c r="F27" s="103" t="e">
        <f t="shared" si="0"/>
        <v>#N/A</v>
      </c>
      <c r="G27" s="103"/>
      <c r="H27" s="103" t="e">
        <f>IF(VLOOKUP($A27,Stunden!$D:$V,17,FALSE)=0,"",VLOOKUP($A27,Stunden!$D:$V,17,FALSE))</f>
        <v>#N/A</v>
      </c>
      <c r="J27" s="104"/>
    </row>
    <row r="28" spans="1:10" s="105" customFormat="1" ht="20.100000000000001" customHeight="1" x14ac:dyDescent="0.25">
      <c r="A28" s="106">
        <f t="shared" si="1"/>
        <v>46277</v>
      </c>
      <c r="B28" s="103" t="e">
        <f>VLOOKUP($A28,Stunden!$D:$V,2,FALSE)</f>
        <v>#N/A</v>
      </c>
      <c r="C28" s="103" t="e">
        <f>VLOOKUP($A28,Stunden!$D:$V,3,FALSE)</f>
        <v>#N/A</v>
      </c>
      <c r="D28" s="103" t="e">
        <f>VLOOKUP($A28,Stunden!$D:$V,4,FALSE)</f>
        <v>#N/A</v>
      </c>
      <c r="E28" s="103">
        <v>0.5</v>
      </c>
      <c r="F28" s="103" t="e">
        <f t="shared" si="0"/>
        <v>#N/A</v>
      </c>
      <c r="G28" s="103"/>
      <c r="H28" s="103" t="e">
        <f>IF(VLOOKUP($A28,Stunden!$D:$V,17,FALSE)=0,"",VLOOKUP($A28,Stunden!$D:$V,17,FALSE))</f>
        <v>#N/A</v>
      </c>
      <c r="J28" s="104"/>
    </row>
    <row r="29" spans="1:10" s="105" customFormat="1" ht="20.100000000000001" customHeight="1" x14ac:dyDescent="0.25">
      <c r="A29" s="106">
        <f t="shared" si="1"/>
        <v>46278</v>
      </c>
      <c r="B29" s="103" t="e">
        <f>VLOOKUP($A29,Stunden!$D:$V,2,FALSE)</f>
        <v>#N/A</v>
      </c>
      <c r="C29" s="103" t="e">
        <f>VLOOKUP($A29,Stunden!$D:$V,3,FALSE)</f>
        <v>#N/A</v>
      </c>
      <c r="D29" s="103" t="e">
        <f>VLOOKUP($A29,Stunden!$D:$V,4,FALSE)</f>
        <v>#N/A</v>
      </c>
      <c r="E29" s="103">
        <v>0.5</v>
      </c>
      <c r="F29" s="103" t="e">
        <f t="shared" si="0"/>
        <v>#N/A</v>
      </c>
      <c r="G29" s="103"/>
      <c r="H29" s="103" t="e">
        <f>IF(VLOOKUP($A29,Stunden!$D:$V,17,FALSE)=0,"",VLOOKUP($A29,Stunden!$D:$V,17,FALSE))</f>
        <v>#N/A</v>
      </c>
      <c r="J29" s="104"/>
    </row>
    <row r="30" spans="1:10" s="105" customFormat="1" ht="20.100000000000001" customHeight="1" x14ac:dyDescent="0.25">
      <c r="A30" s="106">
        <f t="shared" si="1"/>
        <v>46279</v>
      </c>
      <c r="B30" s="103" t="e">
        <f>VLOOKUP($A30,Stunden!$D:$V,2,FALSE)</f>
        <v>#N/A</v>
      </c>
      <c r="C30" s="103" t="e">
        <f>VLOOKUP($A30,Stunden!$D:$V,3,FALSE)</f>
        <v>#N/A</v>
      </c>
      <c r="D30" s="103" t="e">
        <f>VLOOKUP($A30,Stunden!$D:$V,4,FALSE)</f>
        <v>#N/A</v>
      </c>
      <c r="E30" s="103">
        <v>0.5</v>
      </c>
      <c r="F30" s="103" t="e">
        <f t="shared" si="0"/>
        <v>#N/A</v>
      </c>
      <c r="G30" s="103"/>
      <c r="H30" s="103" t="e">
        <f>IF(VLOOKUP($A30,Stunden!$D:$V,17,FALSE)=0,"",VLOOKUP($A30,Stunden!$D:$V,17,FALSE))</f>
        <v>#N/A</v>
      </c>
      <c r="J30" s="104"/>
    </row>
    <row r="31" spans="1:10" s="105" customFormat="1" ht="20.100000000000001" customHeight="1" x14ac:dyDescent="0.25">
      <c r="A31" s="106">
        <f t="shared" si="1"/>
        <v>46280</v>
      </c>
      <c r="B31" s="103" t="e">
        <f>VLOOKUP($A31,Stunden!$D:$V,2,FALSE)</f>
        <v>#N/A</v>
      </c>
      <c r="C31" s="103" t="e">
        <f>VLOOKUP($A31,Stunden!$D:$V,3,FALSE)</f>
        <v>#N/A</v>
      </c>
      <c r="D31" s="103" t="e">
        <f>VLOOKUP($A31,Stunden!$D:$V,4,FALSE)</f>
        <v>#N/A</v>
      </c>
      <c r="E31" s="103">
        <v>0.5</v>
      </c>
      <c r="F31" s="103" t="e">
        <f t="shared" si="0"/>
        <v>#N/A</v>
      </c>
      <c r="G31" s="103"/>
      <c r="H31" s="103" t="e">
        <f>IF(VLOOKUP($A31,Stunden!$D:$V,17,FALSE)=0,"",VLOOKUP($A31,Stunden!$D:$V,17,FALSE))</f>
        <v>#N/A</v>
      </c>
      <c r="J31" s="104"/>
    </row>
    <row r="32" spans="1:10" s="105" customFormat="1" ht="20.100000000000001" customHeight="1" x14ac:dyDescent="0.25">
      <c r="A32" s="106">
        <f t="shared" si="1"/>
        <v>46281</v>
      </c>
      <c r="B32" s="103" t="e">
        <f>VLOOKUP($A32,Stunden!$D:$V,2,FALSE)</f>
        <v>#N/A</v>
      </c>
      <c r="C32" s="103" t="e">
        <f>VLOOKUP($A32,Stunden!$D:$V,3,FALSE)</f>
        <v>#N/A</v>
      </c>
      <c r="D32" s="103" t="e">
        <f>VLOOKUP($A32,Stunden!$D:$V,4,FALSE)</f>
        <v>#N/A</v>
      </c>
      <c r="E32" s="103">
        <v>0.5</v>
      </c>
      <c r="F32" s="103" t="e">
        <f t="shared" si="0"/>
        <v>#N/A</v>
      </c>
      <c r="G32" s="103"/>
      <c r="H32" s="103" t="e">
        <f>IF(VLOOKUP($A32,Stunden!$D:$V,17,FALSE)=0,"",VLOOKUP($A32,Stunden!$D:$V,17,FALSE))</f>
        <v>#N/A</v>
      </c>
      <c r="J32" s="104"/>
    </row>
    <row r="33" spans="1:10" s="105" customFormat="1" ht="20.100000000000001" customHeight="1" x14ac:dyDescent="0.25">
      <c r="A33" s="106">
        <f t="shared" si="1"/>
        <v>46282</v>
      </c>
      <c r="B33" s="103" t="e">
        <f>VLOOKUP($A33,Stunden!$D:$V,2,FALSE)</f>
        <v>#N/A</v>
      </c>
      <c r="C33" s="103" t="e">
        <f>VLOOKUP($A33,Stunden!$D:$V,3,FALSE)</f>
        <v>#N/A</v>
      </c>
      <c r="D33" s="103" t="e">
        <f>VLOOKUP($A33,Stunden!$D:$V,4,FALSE)</f>
        <v>#N/A</v>
      </c>
      <c r="E33" s="103">
        <v>0.5</v>
      </c>
      <c r="F33" s="103" t="e">
        <f t="shared" si="0"/>
        <v>#N/A</v>
      </c>
      <c r="G33" s="103"/>
      <c r="H33" s="103" t="e">
        <f>IF(VLOOKUP($A33,Stunden!$D:$V,17,FALSE)=0,"",VLOOKUP($A33,Stunden!$D:$V,17,FALSE))</f>
        <v>#N/A</v>
      </c>
      <c r="J33" s="104"/>
    </row>
    <row r="34" spans="1:10" s="105" customFormat="1" ht="20.100000000000001" customHeight="1" x14ac:dyDescent="0.25">
      <c r="A34" s="106">
        <f t="shared" si="1"/>
        <v>46283</v>
      </c>
      <c r="B34" s="103" t="e">
        <f>VLOOKUP($A34,Stunden!$D:$V,2,FALSE)</f>
        <v>#N/A</v>
      </c>
      <c r="C34" s="103" t="e">
        <f>VLOOKUP($A34,Stunden!$D:$V,3,FALSE)</f>
        <v>#N/A</v>
      </c>
      <c r="D34" s="103" t="e">
        <f>VLOOKUP($A34,Stunden!$D:$V,4,FALSE)</f>
        <v>#N/A</v>
      </c>
      <c r="E34" s="103">
        <v>0.5</v>
      </c>
      <c r="F34" s="103" t="e">
        <f t="shared" si="0"/>
        <v>#N/A</v>
      </c>
      <c r="G34" s="103"/>
      <c r="H34" s="103" t="e">
        <f>IF(VLOOKUP($A34,Stunden!$D:$V,17,FALSE)=0,"",VLOOKUP($A34,Stunden!$D:$V,17,FALSE))</f>
        <v>#N/A</v>
      </c>
      <c r="J34" s="104"/>
    </row>
    <row r="35" spans="1:10" s="105" customFormat="1" ht="20.100000000000001" customHeight="1" x14ac:dyDescent="0.25">
      <c r="A35" s="106">
        <f t="shared" si="1"/>
        <v>46284</v>
      </c>
      <c r="B35" s="103" t="e">
        <f>VLOOKUP($A35,Stunden!$D:$V,2,FALSE)</f>
        <v>#N/A</v>
      </c>
      <c r="C35" s="103" t="e">
        <f>VLOOKUP($A35,Stunden!$D:$V,3,FALSE)</f>
        <v>#N/A</v>
      </c>
      <c r="D35" s="103" t="e">
        <f>VLOOKUP($A35,Stunden!$D:$V,4,FALSE)</f>
        <v>#N/A</v>
      </c>
      <c r="E35" s="103">
        <v>0.5</v>
      </c>
      <c r="F35" s="103" t="e">
        <f t="shared" si="0"/>
        <v>#N/A</v>
      </c>
      <c r="G35" s="103"/>
      <c r="H35" s="103" t="e">
        <f>IF(VLOOKUP($A35,Stunden!$D:$V,17,FALSE)=0,"",VLOOKUP($A35,Stunden!$D:$V,17,FALSE))</f>
        <v>#N/A</v>
      </c>
      <c r="J35" s="104"/>
    </row>
    <row r="36" spans="1:10" s="105" customFormat="1" ht="20.100000000000001" customHeight="1" x14ac:dyDescent="0.25">
      <c r="A36" s="106">
        <f t="shared" si="1"/>
        <v>46285</v>
      </c>
      <c r="B36" s="103" t="e">
        <f>VLOOKUP($A36,Stunden!$D:$V,2,FALSE)</f>
        <v>#N/A</v>
      </c>
      <c r="C36" s="103" t="e">
        <f>VLOOKUP($A36,Stunden!$D:$V,3,FALSE)</f>
        <v>#N/A</v>
      </c>
      <c r="D36" s="103" t="e">
        <f>VLOOKUP($A36,Stunden!$D:$V,4,FALSE)</f>
        <v>#N/A</v>
      </c>
      <c r="E36" s="103">
        <v>0.5</v>
      </c>
      <c r="F36" s="103" t="e">
        <f t="shared" si="0"/>
        <v>#N/A</v>
      </c>
      <c r="G36" s="103"/>
      <c r="H36" s="103" t="e">
        <f>IF(VLOOKUP($A36,Stunden!$D:$V,17,FALSE)=0,"",VLOOKUP($A36,Stunden!$D:$V,17,FALSE))</f>
        <v>#N/A</v>
      </c>
      <c r="J36" s="104"/>
    </row>
    <row r="37" spans="1:10" s="105" customFormat="1" ht="20.100000000000001" customHeight="1" x14ac:dyDescent="0.25">
      <c r="A37" s="106">
        <f t="shared" si="1"/>
        <v>46286</v>
      </c>
      <c r="B37" s="103" t="e">
        <f>VLOOKUP($A37,Stunden!$D:$V,2,FALSE)</f>
        <v>#N/A</v>
      </c>
      <c r="C37" s="103" t="e">
        <f>VLOOKUP($A37,Stunden!$D:$V,3,FALSE)</f>
        <v>#N/A</v>
      </c>
      <c r="D37" s="103" t="e">
        <f>VLOOKUP($A37,Stunden!$D:$V,4,FALSE)</f>
        <v>#N/A</v>
      </c>
      <c r="E37" s="103">
        <v>0.5</v>
      </c>
      <c r="F37" s="103" t="e">
        <f t="shared" si="0"/>
        <v>#N/A</v>
      </c>
      <c r="G37" s="103"/>
      <c r="H37" s="103" t="e">
        <f>IF(VLOOKUP($A37,Stunden!$D:$V,17,FALSE)=0,"",VLOOKUP($A37,Stunden!$D:$V,17,FALSE))</f>
        <v>#N/A</v>
      </c>
      <c r="J37" s="104"/>
    </row>
    <row r="38" spans="1:10" s="105" customFormat="1" ht="20.100000000000001" customHeight="1" x14ac:dyDescent="0.25">
      <c r="A38" s="106">
        <f t="shared" si="1"/>
        <v>46287</v>
      </c>
      <c r="B38" s="103" t="e">
        <f>VLOOKUP($A38,Stunden!$D:$V,2,FALSE)</f>
        <v>#N/A</v>
      </c>
      <c r="C38" s="103" t="e">
        <f>VLOOKUP($A38,Stunden!$D:$V,3,FALSE)</f>
        <v>#N/A</v>
      </c>
      <c r="D38" s="103" t="e">
        <f>VLOOKUP($A38,Stunden!$D:$V,4,FALSE)</f>
        <v>#N/A</v>
      </c>
      <c r="E38" s="103">
        <v>0.5</v>
      </c>
      <c r="F38" s="103" t="e">
        <f t="shared" si="0"/>
        <v>#N/A</v>
      </c>
      <c r="G38" s="103"/>
      <c r="H38" s="103" t="e">
        <f>IF(VLOOKUP($A38,Stunden!$D:$V,17,FALSE)=0,"",VLOOKUP($A38,Stunden!$D:$V,17,FALSE))</f>
        <v>#N/A</v>
      </c>
      <c r="J38" s="104"/>
    </row>
    <row r="39" spans="1:10" s="105" customFormat="1" ht="20.100000000000001" customHeight="1" x14ac:dyDescent="0.25">
      <c r="A39" s="106">
        <f t="shared" si="1"/>
        <v>46288</v>
      </c>
      <c r="B39" s="103" t="e">
        <f>VLOOKUP($A39,Stunden!$D:$V,2,FALSE)</f>
        <v>#N/A</v>
      </c>
      <c r="C39" s="103" t="e">
        <f>VLOOKUP($A39,Stunden!$D:$V,3,FALSE)</f>
        <v>#N/A</v>
      </c>
      <c r="D39" s="103" t="e">
        <f>VLOOKUP($A39,Stunden!$D:$V,4,FALSE)</f>
        <v>#N/A</v>
      </c>
      <c r="E39" s="103">
        <v>0.5</v>
      </c>
      <c r="F39" s="103" t="e">
        <f t="shared" si="0"/>
        <v>#N/A</v>
      </c>
      <c r="G39" s="103"/>
      <c r="H39" s="103" t="e">
        <f>IF(VLOOKUP($A39,Stunden!$D:$V,17,FALSE)=0,"",VLOOKUP($A39,Stunden!$D:$V,17,FALSE))</f>
        <v>#N/A</v>
      </c>
      <c r="J39" s="104"/>
    </row>
    <row r="40" spans="1:10" s="105" customFormat="1" ht="20.100000000000001" customHeight="1" x14ac:dyDescent="0.25">
      <c r="A40" s="106">
        <f t="shared" si="1"/>
        <v>46289</v>
      </c>
      <c r="B40" s="103" t="e">
        <f>VLOOKUP($A40,Stunden!$D:$V,2,FALSE)</f>
        <v>#N/A</v>
      </c>
      <c r="C40" s="103" t="e">
        <f>VLOOKUP($A40,Stunden!$D:$V,3,FALSE)</f>
        <v>#N/A</v>
      </c>
      <c r="D40" s="103" t="e">
        <f>VLOOKUP($A40,Stunden!$D:$V,4,FALSE)</f>
        <v>#N/A</v>
      </c>
      <c r="E40" s="103">
        <v>0.5</v>
      </c>
      <c r="F40" s="103" t="e">
        <f t="shared" si="0"/>
        <v>#N/A</v>
      </c>
      <c r="G40" s="103"/>
      <c r="H40" s="103" t="e">
        <f>IF(VLOOKUP($A40,Stunden!$D:$V,17,FALSE)=0,"",VLOOKUP($A40,Stunden!$D:$V,17,FALSE))</f>
        <v>#N/A</v>
      </c>
      <c r="J40" s="104"/>
    </row>
    <row r="41" spans="1:10" s="105" customFormat="1" ht="20.100000000000001" customHeight="1" x14ac:dyDescent="0.25">
      <c r="A41" s="106">
        <f t="shared" si="1"/>
        <v>46290</v>
      </c>
      <c r="B41" s="103" t="e">
        <f>VLOOKUP($A41,Stunden!$D:$V,2,FALSE)</f>
        <v>#N/A</v>
      </c>
      <c r="C41" s="103" t="e">
        <f>VLOOKUP($A41,Stunden!$D:$V,3,FALSE)</f>
        <v>#N/A</v>
      </c>
      <c r="D41" s="103" t="e">
        <f>VLOOKUP($A41,Stunden!$D:$V,4,FALSE)</f>
        <v>#N/A</v>
      </c>
      <c r="E41" s="103">
        <v>0.5</v>
      </c>
      <c r="F41" s="103" t="e">
        <f t="shared" si="0"/>
        <v>#N/A</v>
      </c>
      <c r="G41" s="103"/>
      <c r="H41" s="103" t="e">
        <f>IF(VLOOKUP($A41,Stunden!$D:$V,17,FALSE)=0,"",VLOOKUP($A41,Stunden!$D:$V,17,FALSE))</f>
        <v>#N/A</v>
      </c>
      <c r="J41" s="104"/>
    </row>
    <row r="42" spans="1:10" s="105" customFormat="1" ht="20.100000000000001" customHeight="1" x14ac:dyDescent="0.25">
      <c r="A42" s="106">
        <f t="shared" si="1"/>
        <v>46291</v>
      </c>
      <c r="B42" s="103" t="e">
        <f>VLOOKUP($A42,Stunden!$D:$V,2,FALSE)</f>
        <v>#N/A</v>
      </c>
      <c r="C42" s="103" t="e">
        <f>VLOOKUP($A42,Stunden!$D:$V,3,FALSE)</f>
        <v>#N/A</v>
      </c>
      <c r="D42" s="103" t="e">
        <f>VLOOKUP($A42,Stunden!$D:$V,4,FALSE)</f>
        <v>#N/A</v>
      </c>
      <c r="E42" s="103">
        <v>0.5</v>
      </c>
      <c r="F42" s="103" t="e">
        <f t="shared" si="0"/>
        <v>#N/A</v>
      </c>
      <c r="G42" s="103"/>
      <c r="H42" s="103" t="e">
        <f>IF(VLOOKUP($A42,Stunden!$D:$V,17,FALSE)=0,"",VLOOKUP($A42,Stunden!$D:$V,17,FALSE))</f>
        <v>#N/A</v>
      </c>
      <c r="J42" s="104"/>
    </row>
    <row r="43" spans="1:10" s="105" customFormat="1" ht="20.100000000000001" customHeight="1" x14ac:dyDescent="0.25">
      <c r="A43" s="106">
        <f t="shared" si="1"/>
        <v>46292</v>
      </c>
      <c r="B43" s="103" t="e">
        <f>VLOOKUP($A43,Stunden!$D:$V,2,FALSE)</f>
        <v>#N/A</v>
      </c>
      <c r="C43" s="103" t="e">
        <f>VLOOKUP($A43,Stunden!$D:$V,3,FALSE)</f>
        <v>#N/A</v>
      </c>
      <c r="D43" s="103" t="e">
        <f>VLOOKUP($A43,Stunden!$D:$V,4,FALSE)</f>
        <v>#N/A</v>
      </c>
      <c r="E43" s="103">
        <v>0.5</v>
      </c>
      <c r="F43" s="103" t="e">
        <f t="shared" si="0"/>
        <v>#N/A</v>
      </c>
      <c r="G43" s="103"/>
      <c r="H43" s="103" t="e">
        <f>IF(VLOOKUP($A43,Stunden!$D:$V,17,FALSE)=0,"",VLOOKUP($A43,Stunden!$D:$V,17,FALSE))</f>
        <v>#N/A</v>
      </c>
      <c r="J43" s="104"/>
    </row>
    <row r="44" spans="1:10" s="105" customFormat="1" ht="20.100000000000001" customHeight="1" x14ac:dyDescent="0.25">
      <c r="A44" s="106">
        <f t="shared" si="1"/>
        <v>46293</v>
      </c>
      <c r="B44" s="103" t="e">
        <f>VLOOKUP($A44,Stunden!$D:$V,2,FALSE)</f>
        <v>#N/A</v>
      </c>
      <c r="C44" s="103" t="e">
        <f>VLOOKUP($A44,Stunden!$D:$V,3,FALSE)</f>
        <v>#N/A</v>
      </c>
      <c r="D44" s="103" t="e">
        <f>VLOOKUP($A44,Stunden!$D:$V,4,FALSE)</f>
        <v>#N/A</v>
      </c>
      <c r="E44" s="103">
        <v>0.5</v>
      </c>
      <c r="F44" s="103" t="e">
        <f t="shared" si="0"/>
        <v>#N/A</v>
      </c>
      <c r="G44" s="103"/>
      <c r="H44" s="103" t="e">
        <f>IF(VLOOKUP($A44,Stunden!$D:$V,17,FALSE)=0,"",VLOOKUP($A44,Stunden!$D:$V,17,FALSE))</f>
        <v>#N/A</v>
      </c>
      <c r="J44" s="104"/>
    </row>
    <row r="45" spans="1:10" s="105" customFormat="1" ht="20.100000000000001" customHeight="1" x14ac:dyDescent="0.25">
      <c r="A45" s="106">
        <f t="shared" si="1"/>
        <v>46294</v>
      </c>
      <c r="B45" s="103" t="e">
        <f>VLOOKUP($A45,Stunden!$D:$V,2,FALSE)</f>
        <v>#N/A</v>
      </c>
      <c r="C45" s="103" t="e">
        <f>VLOOKUP($A45,Stunden!$D:$V,3,FALSE)</f>
        <v>#N/A</v>
      </c>
      <c r="D45" s="103" t="e">
        <f>VLOOKUP($A45,Stunden!$D:$V,4,FALSE)</f>
        <v>#N/A</v>
      </c>
      <c r="E45" s="103">
        <v>0.5</v>
      </c>
      <c r="F45" s="103" t="e">
        <f t="shared" si="0"/>
        <v>#N/A</v>
      </c>
      <c r="G45" s="103"/>
      <c r="H45" s="103" t="e">
        <f>IF(VLOOKUP($A45,Stunden!$D:$V,17,FALSE)=0,"",VLOOKUP($A45,Stunden!$D:$V,17,FALSE))</f>
        <v>#N/A</v>
      </c>
      <c r="J45" s="104"/>
    </row>
    <row r="46" spans="1:10" s="105" customFormat="1" ht="20.100000000000001" customHeight="1" x14ac:dyDescent="0.25">
      <c r="A46" s="106">
        <f t="shared" si="1"/>
        <v>46295</v>
      </c>
      <c r="B46" s="103" t="e">
        <f>VLOOKUP($A46,Stunden!$D:$V,2,FALSE)</f>
        <v>#N/A</v>
      </c>
      <c r="C46" s="103" t="e">
        <f>VLOOKUP($A46,Stunden!$D:$V,3,FALSE)</f>
        <v>#N/A</v>
      </c>
      <c r="D46" s="103" t="e">
        <f>VLOOKUP($A46,Stunden!$D:$V,4,FALSE)</f>
        <v>#N/A</v>
      </c>
      <c r="E46" s="103">
        <v>0.5</v>
      </c>
      <c r="F46" s="103" t="e">
        <f t="shared" si="0"/>
        <v>#N/A</v>
      </c>
      <c r="G46" s="103"/>
      <c r="H46" s="103" t="e">
        <f>IF(VLOOKUP($A46,Stunden!$D:$V,17,FALSE)=0,"",VLOOKUP($A46,Stunden!$D:$V,17,FALSE))</f>
        <v>#N/A</v>
      </c>
      <c r="J46" s="104"/>
    </row>
    <row r="47" spans="1:10" s="105" customFormat="1" ht="20.100000000000001" customHeight="1" x14ac:dyDescent="0.25">
      <c r="A47" s="106">
        <f t="shared" si="1"/>
        <v>46296</v>
      </c>
      <c r="B47" s="103" t="e">
        <f>VLOOKUP($A47,Stunden!$D:$V,2,FALSE)</f>
        <v>#N/A</v>
      </c>
      <c r="C47" s="103" t="e">
        <f>VLOOKUP($A47,Stunden!$D:$V,3,FALSE)</f>
        <v>#N/A</v>
      </c>
      <c r="D47" s="103" t="e">
        <f>VLOOKUP($A47,Stunden!$D:$V,4,FALSE)</f>
        <v>#N/A</v>
      </c>
      <c r="E47" s="103">
        <v>0.5</v>
      </c>
      <c r="F47" s="103" t="e">
        <f t="shared" si="0"/>
        <v>#N/A</v>
      </c>
      <c r="G47" s="103"/>
      <c r="H47" s="103" t="e">
        <f>IF(VLOOKUP($A47,Stunden!$D:$V,17,FALSE)=0,"",VLOOKUP($A47,Stunden!$D:$V,17,FALSE))</f>
        <v>#N/A</v>
      </c>
      <c r="J47" s="104"/>
    </row>
    <row r="49" spans="10:10" x14ac:dyDescent="0.2">
      <c r="J49" s="119"/>
    </row>
  </sheetData>
  <mergeCells count="2">
    <mergeCell ref="C6:G6"/>
    <mergeCell ref="C11:G11"/>
  </mergeCells>
  <pageMargins left="0.70866141732283472" right="0.31496062992125984" top="0.39370078740157483" bottom="0.39370078740157483" header="0.31496062992125984" footer="0.31496062992125984"/>
  <pageSetup paperSize="9" scale="68" orientation="portrait" r:id="rId1"/>
  <headerFooter>
    <oddFooter>&amp;C_x000D_&amp;1#&amp;"Arial"&amp;8&amp;K869197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2</xdr:col>
                    <xdr:colOff>447675</xdr:colOff>
                    <xdr:row>6</xdr:row>
                    <xdr:rowOff>142875</xdr:rowOff>
                  </from>
                  <to>
                    <xdr:col>2</xdr:col>
                    <xdr:colOff>752475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476250</xdr:colOff>
                    <xdr:row>6</xdr:row>
                    <xdr:rowOff>38100</xdr:rowOff>
                  </from>
                  <to>
                    <xdr:col>5</xdr:col>
                    <xdr:colOff>142875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752475</xdr:colOff>
                    <xdr:row>7</xdr:row>
                    <xdr:rowOff>152400</xdr:rowOff>
                  </from>
                  <to>
                    <xdr:col>5</xdr:col>
                    <xdr:colOff>419100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3</xdr:col>
                    <xdr:colOff>47625</xdr:colOff>
                    <xdr:row>7</xdr:row>
                    <xdr:rowOff>152400</xdr:rowOff>
                  </from>
                  <to>
                    <xdr:col>3</xdr:col>
                    <xdr:colOff>485775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3</xdr:col>
                    <xdr:colOff>438150</xdr:colOff>
                    <xdr:row>6</xdr:row>
                    <xdr:rowOff>47625</xdr:rowOff>
                  </from>
                  <to>
                    <xdr:col>4</xdr:col>
                    <xdr:colOff>104775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802FC-9946-4891-89D8-3B978F17C2AD}">
  <sheetPr codeName="Sheet18">
    <pageSetUpPr fitToPage="1"/>
  </sheetPr>
  <dimension ref="A6:J49"/>
  <sheetViews>
    <sheetView topLeftCell="A15" zoomScale="85" zoomScaleNormal="85" workbookViewId="0">
      <selection activeCell="C7" sqref="C7"/>
    </sheetView>
  </sheetViews>
  <sheetFormatPr defaultColWidth="11.42578125" defaultRowHeight="14.25" x14ac:dyDescent="0.2"/>
  <cols>
    <col min="1" max="1" width="12.85546875" style="98" customWidth="1"/>
    <col min="2" max="7" width="11.42578125" style="98"/>
    <col min="8" max="8" width="53.42578125" style="98" customWidth="1"/>
    <col min="9" max="16384" width="11.42578125" style="98"/>
  </cols>
  <sheetData>
    <row r="6" spans="1:8" ht="15" x14ac:dyDescent="0.25">
      <c r="A6" s="97" t="s">
        <v>172</v>
      </c>
      <c r="C6" s="228" t="str">
        <f>'pers. Daten'!O6</f>
        <v>Burke, André</v>
      </c>
      <c r="D6" s="228"/>
      <c r="E6" s="228"/>
      <c r="F6" s="228"/>
      <c r="G6" s="228"/>
    </row>
    <row r="7" spans="1:8" x14ac:dyDescent="0.2">
      <c r="C7" s="100"/>
    </row>
    <row r="8" spans="1:8" ht="15" x14ac:dyDescent="0.25">
      <c r="A8" s="97" t="s">
        <v>173</v>
      </c>
      <c r="C8" s="100" t="s">
        <v>174</v>
      </c>
      <c r="D8" s="98" t="s">
        <v>175</v>
      </c>
      <c r="E8" s="98" t="s">
        <v>176</v>
      </c>
      <c r="F8" s="98" t="s">
        <v>177</v>
      </c>
    </row>
    <row r="9" spans="1:8" ht="23.25" customHeight="1" x14ac:dyDescent="0.2">
      <c r="C9" s="100" t="s">
        <v>178</v>
      </c>
      <c r="E9" s="98" t="s">
        <v>179</v>
      </c>
    </row>
    <row r="10" spans="1:8" x14ac:dyDescent="0.2">
      <c r="C10" s="100"/>
    </row>
    <row r="11" spans="1:8" ht="15" x14ac:dyDescent="0.25">
      <c r="A11" s="97" t="s">
        <v>31</v>
      </c>
      <c r="C11" s="228" t="str">
        <f>'pers. Daten'!O1</f>
        <v>??</v>
      </c>
      <c r="D11" s="228"/>
      <c r="E11" s="228"/>
      <c r="F11" s="228"/>
      <c r="G11" s="228"/>
    </row>
    <row r="12" spans="1:8" x14ac:dyDescent="0.2">
      <c r="C12" s="100"/>
      <c r="H12" s="107"/>
    </row>
    <row r="13" spans="1:8" ht="15" x14ac:dyDescent="0.25">
      <c r="A13" s="97" t="s">
        <v>180</v>
      </c>
      <c r="C13" s="99">
        <f>MONTH(A17)</f>
        <v>10</v>
      </c>
      <c r="D13" s="108" t="str">
        <f>TEXT(DATE(1,C13,1),"MMMM")</f>
        <v>Oktober</v>
      </c>
      <c r="E13" s="108"/>
      <c r="F13" s="108"/>
      <c r="G13" s="108"/>
    </row>
    <row r="16" spans="1:8" s="101" customFormat="1" ht="33" customHeight="1" x14ac:dyDescent="0.25">
      <c r="B16" s="102" t="s">
        <v>181</v>
      </c>
      <c r="C16" s="102" t="s">
        <v>182</v>
      </c>
      <c r="D16" s="102" t="s">
        <v>185</v>
      </c>
      <c r="E16" s="102" t="s">
        <v>186</v>
      </c>
      <c r="F16" s="102" t="s">
        <v>183</v>
      </c>
      <c r="G16" s="102"/>
      <c r="H16" s="102" t="s">
        <v>184</v>
      </c>
    </row>
    <row r="17" spans="1:10" s="105" customFormat="1" ht="20.100000000000001" customHeight="1" x14ac:dyDescent="0.25">
      <c r="A17" s="106">
        <v>46296</v>
      </c>
      <c r="B17" s="103" t="e">
        <f>VLOOKUP($A17,Stunden!$D:$V,2,FALSE)</f>
        <v>#N/A</v>
      </c>
      <c r="C17" s="103" t="e">
        <f>VLOOKUP($A17,Stunden!$D:$V,3,FALSE)</f>
        <v>#N/A</v>
      </c>
      <c r="D17" s="103" t="e">
        <f>VLOOKUP($A17,Stunden!$D:$V,4,FALSE)</f>
        <v>#N/A</v>
      </c>
      <c r="E17" s="103">
        <v>0.5</v>
      </c>
      <c r="F17" s="103" t="e">
        <f>E17+D17</f>
        <v>#N/A</v>
      </c>
      <c r="G17" s="103"/>
      <c r="H17" s="103" t="e">
        <f>IF(VLOOKUP($A17,Stunden!$D:$V,17,FALSE)=0,"",VLOOKUP($A17,Stunden!$D:$V,17,FALSE))</f>
        <v>#N/A</v>
      </c>
      <c r="I17" s="104"/>
      <c r="J17" s="104"/>
    </row>
    <row r="18" spans="1:10" s="105" customFormat="1" ht="20.100000000000001" customHeight="1" x14ac:dyDescent="0.25">
      <c r="A18" s="106">
        <f>A17+1</f>
        <v>46297</v>
      </c>
      <c r="B18" s="103" t="e">
        <f>VLOOKUP($A18,Stunden!$D:$V,2,FALSE)</f>
        <v>#N/A</v>
      </c>
      <c r="C18" s="103" t="e">
        <f>VLOOKUP($A18,Stunden!$D:$V,3,FALSE)</f>
        <v>#N/A</v>
      </c>
      <c r="D18" s="103" t="e">
        <f>VLOOKUP($A18,Stunden!$D:$V,4,FALSE)</f>
        <v>#N/A</v>
      </c>
      <c r="E18" s="103">
        <v>0.5</v>
      </c>
      <c r="F18" s="103" t="e">
        <f t="shared" ref="F18:F47" si="0">E18+D18</f>
        <v>#N/A</v>
      </c>
      <c r="G18" s="103"/>
      <c r="H18" s="103" t="e">
        <f>IF(VLOOKUP($A18,Stunden!$D:$V,17,FALSE)=0,"",VLOOKUP($A18,Stunden!$D:$V,17,FALSE))</f>
        <v>#N/A</v>
      </c>
      <c r="I18" s="104"/>
      <c r="J18" s="104"/>
    </row>
    <row r="19" spans="1:10" s="105" customFormat="1" ht="20.100000000000001" customHeight="1" x14ac:dyDescent="0.25">
      <c r="A19" s="106">
        <f t="shared" ref="A19:A47" si="1">A18+1</f>
        <v>46298</v>
      </c>
      <c r="B19" s="103" t="e">
        <f>VLOOKUP($A19,Stunden!$D:$V,2,FALSE)</f>
        <v>#N/A</v>
      </c>
      <c r="C19" s="103" t="e">
        <f>VLOOKUP($A19,Stunden!$D:$V,3,FALSE)</f>
        <v>#N/A</v>
      </c>
      <c r="D19" s="103" t="e">
        <f>VLOOKUP($A19,Stunden!$D:$V,4,FALSE)</f>
        <v>#N/A</v>
      </c>
      <c r="E19" s="103">
        <v>0.5</v>
      </c>
      <c r="F19" s="103" t="e">
        <f t="shared" si="0"/>
        <v>#N/A</v>
      </c>
      <c r="G19" s="103"/>
      <c r="H19" s="103" t="e">
        <f>IF(VLOOKUP($A19,Stunden!$D:$V,17,FALSE)=0,"",VLOOKUP($A19,Stunden!$D:$V,17,FALSE))</f>
        <v>#N/A</v>
      </c>
      <c r="I19" s="104"/>
      <c r="J19" s="104"/>
    </row>
    <row r="20" spans="1:10" s="105" customFormat="1" ht="20.100000000000001" customHeight="1" x14ac:dyDescent="0.25">
      <c r="A20" s="106">
        <f t="shared" si="1"/>
        <v>46299</v>
      </c>
      <c r="B20" s="103" t="e">
        <f>VLOOKUP($A20,Stunden!$D:$V,2,FALSE)</f>
        <v>#N/A</v>
      </c>
      <c r="C20" s="103" t="e">
        <f>VLOOKUP($A20,Stunden!$D:$V,3,FALSE)</f>
        <v>#N/A</v>
      </c>
      <c r="D20" s="103" t="e">
        <f>VLOOKUP($A20,Stunden!$D:$V,4,FALSE)</f>
        <v>#N/A</v>
      </c>
      <c r="E20" s="103">
        <v>0.5</v>
      </c>
      <c r="F20" s="103" t="e">
        <f t="shared" si="0"/>
        <v>#N/A</v>
      </c>
      <c r="G20" s="103"/>
      <c r="H20" s="103" t="e">
        <f>IF(VLOOKUP($A20,Stunden!$D:$V,17,FALSE)=0,"",VLOOKUP($A20,Stunden!$D:$V,17,FALSE))</f>
        <v>#N/A</v>
      </c>
      <c r="I20" s="104"/>
      <c r="J20" s="104"/>
    </row>
    <row r="21" spans="1:10" s="105" customFormat="1" ht="20.100000000000001" customHeight="1" x14ac:dyDescent="0.25">
      <c r="A21" s="106">
        <f t="shared" si="1"/>
        <v>46300</v>
      </c>
      <c r="B21" s="103" t="e">
        <f>VLOOKUP($A21,Stunden!$D:$V,2,FALSE)</f>
        <v>#N/A</v>
      </c>
      <c r="C21" s="103" t="e">
        <f>VLOOKUP($A21,Stunden!$D:$V,3,FALSE)</f>
        <v>#N/A</v>
      </c>
      <c r="D21" s="103" t="e">
        <f>VLOOKUP($A21,Stunden!$D:$V,4,FALSE)</f>
        <v>#N/A</v>
      </c>
      <c r="E21" s="103">
        <v>0.5</v>
      </c>
      <c r="F21" s="103" t="e">
        <f t="shared" si="0"/>
        <v>#N/A</v>
      </c>
      <c r="G21" s="103"/>
      <c r="H21" s="103" t="e">
        <f>IF(VLOOKUP($A21,Stunden!$D:$V,17,FALSE)=0,"",VLOOKUP($A21,Stunden!$D:$V,17,FALSE))</f>
        <v>#N/A</v>
      </c>
      <c r="I21" s="104"/>
      <c r="J21" s="104"/>
    </row>
    <row r="22" spans="1:10" s="105" customFormat="1" ht="20.100000000000001" customHeight="1" x14ac:dyDescent="0.25">
      <c r="A22" s="106">
        <f t="shared" si="1"/>
        <v>46301</v>
      </c>
      <c r="B22" s="103" t="e">
        <f>VLOOKUP($A22,Stunden!$D:$V,2,FALSE)</f>
        <v>#N/A</v>
      </c>
      <c r="C22" s="103" t="e">
        <f>VLOOKUP($A22,Stunden!$D:$V,3,FALSE)</f>
        <v>#N/A</v>
      </c>
      <c r="D22" s="103" t="e">
        <f>VLOOKUP($A22,Stunden!$D:$V,4,FALSE)</f>
        <v>#N/A</v>
      </c>
      <c r="E22" s="103">
        <v>0.5</v>
      </c>
      <c r="F22" s="103" t="e">
        <f t="shared" si="0"/>
        <v>#N/A</v>
      </c>
      <c r="G22" s="103"/>
      <c r="H22" s="103" t="e">
        <f>IF(VLOOKUP($A22,Stunden!$D:$V,17,FALSE)=0,"",VLOOKUP($A22,Stunden!$D:$V,17,FALSE))</f>
        <v>#N/A</v>
      </c>
      <c r="J22" s="104"/>
    </row>
    <row r="23" spans="1:10" s="105" customFormat="1" ht="20.100000000000001" customHeight="1" x14ac:dyDescent="0.25">
      <c r="A23" s="106">
        <f t="shared" si="1"/>
        <v>46302</v>
      </c>
      <c r="B23" s="103" t="e">
        <f>VLOOKUP($A23,Stunden!$D:$V,2,FALSE)</f>
        <v>#N/A</v>
      </c>
      <c r="C23" s="103" t="e">
        <f>VLOOKUP($A23,Stunden!$D:$V,3,FALSE)</f>
        <v>#N/A</v>
      </c>
      <c r="D23" s="103" t="e">
        <f>VLOOKUP($A23,Stunden!$D:$V,4,FALSE)</f>
        <v>#N/A</v>
      </c>
      <c r="E23" s="103">
        <v>0.5</v>
      </c>
      <c r="F23" s="103" t="e">
        <f t="shared" si="0"/>
        <v>#N/A</v>
      </c>
      <c r="G23" s="103"/>
      <c r="H23" s="103" t="e">
        <f>IF(VLOOKUP($A23,Stunden!$D:$V,17,FALSE)=0,"",VLOOKUP($A23,Stunden!$D:$V,17,FALSE))</f>
        <v>#N/A</v>
      </c>
      <c r="J23" s="104"/>
    </row>
    <row r="24" spans="1:10" s="105" customFormat="1" ht="20.100000000000001" customHeight="1" x14ac:dyDescent="0.25">
      <c r="A24" s="106">
        <f t="shared" si="1"/>
        <v>46303</v>
      </c>
      <c r="B24" s="103" t="e">
        <f>VLOOKUP($A24,Stunden!$D:$V,2,FALSE)</f>
        <v>#N/A</v>
      </c>
      <c r="C24" s="103" t="e">
        <f>VLOOKUP($A24,Stunden!$D:$V,3,FALSE)</f>
        <v>#N/A</v>
      </c>
      <c r="D24" s="103" t="e">
        <f>VLOOKUP($A24,Stunden!$D:$V,4,FALSE)</f>
        <v>#N/A</v>
      </c>
      <c r="E24" s="103">
        <v>0.5</v>
      </c>
      <c r="F24" s="103" t="e">
        <f t="shared" si="0"/>
        <v>#N/A</v>
      </c>
      <c r="G24" s="103"/>
      <c r="H24" s="103" t="e">
        <f>IF(VLOOKUP($A24,Stunden!$D:$V,17,FALSE)=0,"",VLOOKUP($A24,Stunden!$D:$V,17,FALSE))</f>
        <v>#N/A</v>
      </c>
      <c r="J24" s="104"/>
    </row>
    <row r="25" spans="1:10" s="105" customFormat="1" ht="20.100000000000001" customHeight="1" x14ac:dyDescent="0.25">
      <c r="A25" s="106">
        <f t="shared" si="1"/>
        <v>46304</v>
      </c>
      <c r="B25" s="103" t="e">
        <f>VLOOKUP($A25,Stunden!$D:$V,2,FALSE)</f>
        <v>#N/A</v>
      </c>
      <c r="C25" s="103" t="e">
        <f>VLOOKUP($A25,Stunden!$D:$V,3,FALSE)</f>
        <v>#N/A</v>
      </c>
      <c r="D25" s="103" t="e">
        <f>VLOOKUP($A25,Stunden!$D:$V,4,FALSE)</f>
        <v>#N/A</v>
      </c>
      <c r="E25" s="103">
        <v>0.5</v>
      </c>
      <c r="F25" s="103" t="e">
        <f t="shared" si="0"/>
        <v>#N/A</v>
      </c>
      <c r="G25" s="103"/>
      <c r="H25" s="103" t="e">
        <f>IF(VLOOKUP($A25,Stunden!$D:$V,17,FALSE)=0,"",VLOOKUP($A25,Stunden!$D:$V,17,FALSE))</f>
        <v>#N/A</v>
      </c>
      <c r="J25" s="104"/>
    </row>
    <row r="26" spans="1:10" s="105" customFormat="1" ht="20.100000000000001" customHeight="1" x14ac:dyDescent="0.25">
      <c r="A26" s="106">
        <f t="shared" si="1"/>
        <v>46305</v>
      </c>
      <c r="B26" s="103" t="e">
        <f>VLOOKUP($A26,Stunden!$D:$V,2,FALSE)</f>
        <v>#N/A</v>
      </c>
      <c r="C26" s="103" t="e">
        <f>VLOOKUP($A26,Stunden!$D:$V,3,FALSE)</f>
        <v>#N/A</v>
      </c>
      <c r="D26" s="103" t="e">
        <f>VLOOKUP($A26,Stunden!$D:$V,4,FALSE)</f>
        <v>#N/A</v>
      </c>
      <c r="E26" s="103">
        <v>0.5</v>
      </c>
      <c r="F26" s="103" t="e">
        <f t="shared" si="0"/>
        <v>#N/A</v>
      </c>
      <c r="G26" s="103"/>
      <c r="H26" s="103" t="e">
        <f>IF(VLOOKUP($A26,Stunden!$D:$V,17,FALSE)=0,"",VLOOKUP($A26,Stunden!$D:$V,17,FALSE))</f>
        <v>#N/A</v>
      </c>
      <c r="J26" s="104"/>
    </row>
    <row r="27" spans="1:10" s="105" customFormat="1" ht="20.100000000000001" customHeight="1" x14ac:dyDescent="0.25">
      <c r="A27" s="106">
        <f t="shared" si="1"/>
        <v>46306</v>
      </c>
      <c r="B27" s="103" t="e">
        <f>VLOOKUP($A27,Stunden!$D:$V,2,FALSE)</f>
        <v>#N/A</v>
      </c>
      <c r="C27" s="103" t="e">
        <f>VLOOKUP($A27,Stunden!$D:$V,3,FALSE)</f>
        <v>#N/A</v>
      </c>
      <c r="D27" s="103" t="e">
        <f>VLOOKUP($A27,Stunden!$D:$V,4,FALSE)</f>
        <v>#N/A</v>
      </c>
      <c r="E27" s="103">
        <v>0.5</v>
      </c>
      <c r="F27" s="103" t="e">
        <f t="shared" si="0"/>
        <v>#N/A</v>
      </c>
      <c r="G27" s="103"/>
      <c r="H27" s="103" t="e">
        <f>IF(VLOOKUP($A27,Stunden!$D:$V,17,FALSE)=0,"",VLOOKUP($A27,Stunden!$D:$V,17,FALSE))</f>
        <v>#N/A</v>
      </c>
      <c r="J27" s="104"/>
    </row>
    <row r="28" spans="1:10" s="105" customFormat="1" ht="20.100000000000001" customHeight="1" x14ac:dyDescent="0.25">
      <c r="A28" s="106">
        <f t="shared" si="1"/>
        <v>46307</v>
      </c>
      <c r="B28" s="103" t="e">
        <f>VLOOKUP($A28,Stunden!$D:$V,2,FALSE)</f>
        <v>#N/A</v>
      </c>
      <c r="C28" s="103" t="e">
        <f>VLOOKUP($A28,Stunden!$D:$V,3,FALSE)</f>
        <v>#N/A</v>
      </c>
      <c r="D28" s="103" t="e">
        <f>VLOOKUP($A28,Stunden!$D:$V,4,FALSE)</f>
        <v>#N/A</v>
      </c>
      <c r="E28" s="103">
        <v>0.5</v>
      </c>
      <c r="F28" s="103" t="e">
        <f t="shared" si="0"/>
        <v>#N/A</v>
      </c>
      <c r="G28" s="103"/>
      <c r="H28" s="103" t="e">
        <f>IF(VLOOKUP($A28,Stunden!$D:$V,17,FALSE)=0,"",VLOOKUP($A28,Stunden!$D:$V,17,FALSE))</f>
        <v>#N/A</v>
      </c>
      <c r="J28" s="104"/>
    </row>
    <row r="29" spans="1:10" s="105" customFormat="1" ht="20.100000000000001" customHeight="1" x14ac:dyDescent="0.25">
      <c r="A29" s="106">
        <f t="shared" si="1"/>
        <v>46308</v>
      </c>
      <c r="B29" s="103" t="e">
        <f>VLOOKUP($A29,Stunden!$D:$V,2,FALSE)</f>
        <v>#N/A</v>
      </c>
      <c r="C29" s="103" t="e">
        <f>VLOOKUP($A29,Stunden!$D:$V,3,FALSE)</f>
        <v>#N/A</v>
      </c>
      <c r="D29" s="103" t="e">
        <f>VLOOKUP($A29,Stunden!$D:$V,4,FALSE)</f>
        <v>#N/A</v>
      </c>
      <c r="E29" s="103">
        <v>0.5</v>
      </c>
      <c r="F29" s="103" t="e">
        <f t="shared" si="0"/>
        <v>#N/A</v>
      </c>
      <c r="G29" s="103"/>
      <c r="H29" s="103" t="e">
        <f>IF(VLOOKUP($A29,Stunden!$D:$V,17,FALSE)=0,"",VLOOKUP($A29,Stunden!$D:$V,17,FALSE))</f>
        <v>#N/A</v>
      </c>
      <c r="J29" s="104"/>
    </row>
    <row r="30" spans="1:10" s="105" customFormat="1" ht="20.100000000000001" customHeight="1" x14ac:dyDescent="0.25">
      <c r="A30" s="106">
        <f t="shared" si="1"/>
        <v>46309</v>
      </c>
      <c r="B30" s="103" t="e">
        <f>VLOOKUP($A30,Stunden!$D:$V,2,FALSE)</f>
        <v>#N/A</v>
      </c>
      <c r="C30" s="103" t="e">
        <f>VLOOKUP($A30,Stunden!$D:$V,3,FALSE)</f>
        <v>#N/A</v>
      </c>
      <c r="D30" s="103" t="e">
        <f>VLOOKUP($A30,Stunden!$D:$V,4,FALSE)</f>
        <v>#N/A</v>
      </c>
      <c r="E30" s="103">
        <v>0.5</v>
      </c>
      <c r="F30" s="103" t="e">
        <f t="shared" si="0"/>
        <v>#N/A</v>
      </c>
      <c r="G30" s="103"/>
      <c r="H30" s="103" t="e">
        <f>IF(VLOOKUP($A30,Stunden!$D:$V,17,FALSE)=0,"",VLOOKUP($A30,Stunden!$D:$V,17,FALSE))</f>
        <v>#N/A</v>
      </c>
      <c r="J30" s="104"/>
    </row>
    <row r="31" spans="1:10" s="105" customFormat="1" ht="20.100000000000001" customHeight="1" x14ac:dyDescent="0.25">
      <c r="A31" s="106">
        <f t="shared" si="1"/>
        <v>46310</v>
      </c>
      <c r="B31" s="103" t="e">
        <f>VLOOKUP($A31,Stunden!$D:$V,2,FALSE)</f>
        <v>#N/A</v>
      </c>
      <c r="C31" s="103" t="e">
        <f>VLOOKUP($A31,Stunden!$D:$V,3,FALSE)</f>
        <v>#N/A</v>
      </c>
      <c r="D31" s="103" t="e">
        <f>VLOOKUP($A31,Stunden!$D:$V,4,FALSE)</f>
        <v>#N/A</v>
      </c>
      <c r="E31" s="103">
        <v>0.5</v>
      </c>
      <c r="F31" s="103" t="e">
        <f t="shared" si="0"/>
        <v>#N/A</v>
      </c>
      <c r="G31" s="103"/>
      <c r="H31" s="103" t="e">
        <f>IF(VLOOKUP($A31,Stunden!$D:$V,17,FALSE)=0,"",VLOOKUP($A31,Stunden!$D:$V,17,FALSE))</f>
        <v>#N/A</v>
      </c>
      <c r="J31" s="104"/>
    </row>
    <row r="32" spans="1:10" s="105" customFormat="1" ht="20.100000000000001" customHeight="1" x14ac:dyDescent="0.25">
      <c r="A32" s="106">
        <f t="shared" si="1"/>
        <v>46311</v>
      </c>
      <c r="B32" s="103" t="e">
        <f>VLOOKUP($A32,Stunden!$D:$V,2,FALSE)</f>
        <v>#N/A</v>
      </c>
      <c r="C32" s="103" t="e">
        <f>VLOOKUP($A32,Stunden!$D:$V,3,FALSE)</f>
        <v>#N/A</v>
      </c>
      <c r="D32" s="103" t="e">
        <f>VLOOKUP($A32,Stunden!$D:$V,4,FALSE)</f>
        <v>#N/A</v>
      </c>
      <c r="E32" s="103">
        <v>0.5</v>
      </c>
      <c r="F32" s="103" t="e">
        <f t="shared" si="0"/>
        <v>#N/A</v>
      </c>
      <c r="G32" s="103"/>
      <c r="H32" s="103" t="e">
        <f>IF(VLOOKUP($A32,Stunden!$D:$V,17,FALSE)=0,"",VLOOKUP($A32,Stunden!$D:$V,17,FALSE))</f>
        <v>#N/A</v>
      </c>
      <c r="J32" s="104"/>
    </row>
    <row r="33" spans="1:10" s="105" customFormat="1" ht="20.100000000000001" customHeight="1" x14ac:dyDescent="0.25">
      <c r="A33" s="106">
        <f t="shared" si="1"/>
        <v>46312</v>
      </c>
      <c r="B33" s="103" t="e">
        <f>VLOOKUP($A33,Stunden!$D:$V,2,FALSE)</f>
        <v>#N/A</v>
      </c>
      <c r="C33" s="103" t="e">
        <f>VLOOKUP($A33,Stunden!$D:$V,3,FALSE)</f>
        <v>#N/A</v>
      </c>
      <c r="D33" s="103" t="e">
        <f>VLOOKUP($A33,Stunden!$D:$V,4,FALSE)</f>
        <v>#N/A</v>
      </c>
      <c r="E33" s="103">
        <v>0.5</v>
      </c>
      <c r="F33" s="103" t="e">
        <f t="shared" si="0"/>
        <v>#N/A</v>
      </c>
      <c r="G33" s="103"/>
      <c r="H33" s="103" t="e">
        <f>IF(VLOOKUP($A33,Stunden!$D:$V,17,FALSE)=0,"",VLOOKUP($A33,Stunden!$D:$V,17,FALSE))</f>
        <v>#N/A</v>
      </c>
      <c r="J33" s="104"/>
    </row>
    <row r="34" spans="1:10" s="105" customFormat="1" ht="20.100000000000001" customHeight="1" x14ac:dyDescent="0.25">
      <c r="A34" s="106">
        <f t="shared" si="1"/>
        <v>46313</v>
      </c>
      <c r="B34" s="103" t="e">
        <f>VLOOKUP($A34,Stunden!$D:$V,2,FALSE)</f>
        <v>#N/A</v>
      </c>
      <c r="C34" s="103" t="e">
        <f>VLOOKUP($A34,Stunden!$D:$V,3,FALSE)</f>
        <v>#N/A</v>
      </c>
      <c r="D34" s="103" t="e">
        <f>VLOOKUP($A34,Stunden!$D:$V,4,FALSE)</f>
        <v>#N/A</v>
      </c>
      <c r="E34" s="103">
        <v>0.5</v>
      </c>
      <c r="F34" s="103" t="e">
        <f t="shared" si="0"/>
        <v>#N/A</v>
      </c>
      <c r="G34" s="103"/>
      <c r="H34" s="103" t="e">
        <f>IF(VLOOKUP($A34,Stunden!$D:$V,17,FALSE)=0,"",VLOOKUP($A34,Stunden!$D:$V,17,FALSE))</f>
        <v>#N/A</v>
      </c>
      <c r="J34" s="104"/>
    </row>
    <row r="35" spans="1:10" s="105" customFormat="1" ht="20.100000000000001" customHeight="1" x14ac:dyDescent="0.25">
      <c r="A35" s="106">
        <f t="shared" si="1"/>
        <v>46314</v>
      </c>
      <c r="B35" s="103" t="e">
        <f>VLOOKUP($A35,Stunden!$D:$V,2,FALSE)</f>
        <v>#N/A</v>
      </c>
      <c r="C35" s="103" t="e">
        <f>VLOOKUP($A35,Stunden!$D:$V,3,FALSE)</f>
        <v>#N/A</v>
      </c>
      <c r="D35" s="103" t="e">
        <f>VLOOKUP($A35,Stunden!$D:$V,4,FALSE)</f>
        <v>#N/A</v>
      </c>
      <c r="E35" s="103">
        <v>0.5</v>
      </c>
      <c r="F35" s="103" t="e">
        <f t="shared" si="0"/>
        <v>#N/A</v>
      </c>
      <c r="G35" s="103"/>
      <c r="H35" s="103" t="e">
        <f>IF(VLOOKUP($A35,Stunden!$D:$V,17,FALSE)=0,"",VLOOKUP($A35,Stunden!$D:$V,17,FALSE))</f>
        <v>#N/A</v>
      </c>
      <c r="J35" s="104"/>
    </row>
    <row r="36" spans="1:10" s="105" customFormat="1" ht="20.100000000000001" customHeight="1" x14ac:dyDescent="0.25">
      <c r="A36" s="106">
        <f t="shared" si="1"/>
        <v>46315</v>
      </c>
      <c r="B36" s="103" t="e">
        <f>VLOOKUP($A36,Stunden!$D:$V,2,FALSE)</f>
        <v>#N/A</v>
      </c>
      <c r="C36" s="103" t="e">
        <f>VLOOKUP($A36,Stunden!$D:$V,3,FALSE)</f>
        <v>#N/A</v>
      </c>
      <c r="D36" s="103" t="e">
        <f>VLOOKUP($A36,Stunden!$D:$V,4,FALSE)</f>
        <v>#N/A</v>
      </c>
      <c r="E36" s="103">
        <v>0.5</v>
      </c>
      <c r="F36" s="103" t="e">
        <f t="shared" si="0"/>
        <v>#N/A</v>
      </c>
      <c r="G36" s="103"/>
      <c r="H36" s="103" t="e">
        <f>IF(VLOOKUP($A36,Stunden!$D:$V,17,FALSE)=0,"",VLOOKUP($A36,Stunden!$D:$V,17,FALSE))</f>
        <v>#N/A</v>
      </c>
      <c r="J36" s="104"/>
    </row>
    <row r="37" spans="1:10" s="105" customFormat="1" ht="20.100000000000001" customHeight="1" x14ac:dyDescent="0.25">
      <c r="A37" s="106">
        <f t="shared" si="1"/>
        <v>46316</v>
      </c>
      <c r="B37" s="103" t="e">
        <f>VLOOKUP($A37,Stunden!$D:$V,2,FALSE)</f>
        <v>#N/A</v>
      </c>
      <c r="C37" s="103" t="e">
        <f>VLOOKUP($A37,Stunden!$D:$V,3,FALSE)</f>
        <v>#N/A</v>
      </c>
      <c r="D37" s="103" t="e">
        <f>VLOOKUP($A37,Stunden!$D:$V,4,FALSE)</f>
        <v>#N/A</v>
      </c>
      <c r="E37" s="103">
        <v>0.5</v>
      </c>
      <c r="F37" s="103" t="e">
        <f t="shared" si="0"/>
        <v>#N/A</v>
      </c>
      <c r="G37" s="103"/>
      <c r="H37" s="103" t="e">
        <f>IF(VLOOKUP($A37,Stunden!$D:$V,17,FALSE)=0,"",VLOOKUP($A37,Stunden!$D:$V,17,FALSE))</f>
        <v>#N/A</v>
      </c>
      <c r="J37" s="104"/>
    </row>
    <row r="38" spans="1:10" s="105" customFormat="1" ht="20.100000000000001" customHeight="1" x14ac:dyDescent="0.25">
      <c r="A38" s="106">
        <f t="shared" si="1"/>
        <v>46317</v>
      </c>
      <c r="B38" s="103" t="e">
        <f>VLOOKUP($A38,Stunden!$D:$V,2,FALSE)</f>
        <v>#N/A</v>
      </c>
      <c r="C38" s="103" t="e">
        <f>VLOOKUP($A38,Stunden!$D:$V,3,FALSE)</f>
        <v>#N/A</v>
      </c>
      <c r="D38" s="103" t="e">
        <f>VLOOKUP($A38,Stunden!$D:$V,4,FALSE)</f>
        <v>#N/A</v>
      </c>
      <c r="E38" s="103">
        <v>0.5</v>
      </c>
      <c r="F38" s="103" t="e">
        <f t="shared" si="0"/>
        <v>#N/A</v>
      </c>
      <c r="G38" s="103"/>
      <c r="H38" s="103" t="e">
        <f>IF(VLOOKUP($A38,Stunden!$D:$V,17,FALSE)=0,"",VLOOKUP($A38,Stunden!$D:$V,17,FALSE))</f>
        <v>#N/A</v>
      </c>
      <c r="J38" s="104"/>
    </row>
    <row r="39" spans="1:10" s="105" customFormat="1" ht="20.100000000000001" customHeight="1" x14ac:dyDescent="0.25">
      <c r="A39" s="106">
        <f t="shared" si="1"/>
        <v>46318</v>
      </c>
      <c r="B39" s="103" t="e">
        <f>VLOOKUP($A39,Stunden!$D:$V,2,FALSE)</f>
        <v>#N/A</v>
      </c>
      <c r="C39" s="103" t="e">
        <f>VLOOKUP($A39,Stunden!$D:$V,3,FALSE)</f>
        <v>#N/A</v>
      </c>
      <c r="D39" s="103" t="e">
        <f>VLOOKUP($A39,Stunden!$D:$V,4,FALSE)</f>
        <v>#N/A</v>
      </c>
      <c r="E39" s="103">
        <v>0.5</v>
      </c>
      <c r="F39" s="103" t="e">
        <f t="shared" si="0"/>
        <v>#N/A</v>
      </c>
      <c r="G39" s="103"/>
      <c r="H39" s="103" t="e">
        <f>IF(VLOOKUP($A39,Stunden!$D:$V,17,FALSE)=0,"",VLOOKUP($A39,Stunden!$D:$V,17,FALSE))</f>
        <v>#N/A</v>
      </c>
      <c r="J39" s="104"/>
    </row>
    <row r="40" spans="1:10" s="105" customFormat="1" ht="20.100000000000001" customHeight="1" x14ac:dyDescent="0.25">
      <c r="A40" s="106">
        <f t="shared" si="1"/>
        <v>46319</v>
      </c>
      <c r="B40" s="103" t="e">
        <f>VLOOKUP($A40,Stunden!$D:$V,2,FALSE)</f>
        <v>#N/A</v>
      </c>
      <c r="C40" s="103" t="e">
        <f>VLOOKUP($A40,Stunden!$D:$V,3,FALSE)</f>
        <v>#N/A</v>
      </c>
      <c r="D40" s="103" t="e">
        <f>VLOOKUP($A40,Stunden!$D:$V,4,FALSE)</f>
        <v>#N/A</v>
      </c>
      <c r="E40" s="103">
        <v>0.5</v>
      </c>
      <c r="F40" s="103" t="e">
        <f t="shared" si="0"/>
        <v>#N/A</v>
      </c>
      <c r="G40" s="103"/>
      <c r="H40" s="103" t="e">
        <f>IF(VLOOKUP($A40,Stunden!$D:$V,17,FALSE)=0,"",VLOOKUP($A40,Stunden!$D:$V,17,FALSE))</f>
        <v>#N/A</v>
      </c>
      <c r="J40" s="104"/>
    </row>
    <row r="41" spans="1:10" s="105" customFormat="1" ht="20.100000000000001" customHeight="1" x14ac:dyDescent="0.25">
      <c r="A41" s="106">
        <f t="shared" si="1"/>
        <v>46320</v>
      </c>
      <c r="B41" s="103" t="e">
        <f>VLOOKUP($A41,Stunden!$D:$V,2,FALSE)</f>
        <v>#N/A</v>
      </c>
      <c r="C41" s="103" t="e">
        <f>VLOOKUP($A41,Stunden!$D:$V,3,FALSE)</f>
        <v>#N/A</v>
      </c>
      <c r="D41" s="103" t="e">
        <f>VLOOKUP($A41,Stunden!$D:$V,4,FALSE)</f>
        <v>#N/A</v>
      </c>
      <c r="E41" s="103">
        <v>0.5</v>
      </c>
      <c r="F41" s="103" t="e">
        <f t="shared" si="0"/>
        <v>#N/A</v>
      </c>
      <c r="G41" s="103"/>
      <c r="H41" s="103" t="e">
        <f>IF(VLOOKUP($A41,Stunden!$D:$V,17,FALSE)=0,"",VLOOKUP($A41,Stunden!$D:$V,17,FALSE))</f>
        <v>#N/A</v>
      </c>
      <c r="J41" s="104"/>
    </row>
    <row r="42" spans="1:10" s="105" customFormat="1" ht="20.100000000000001" customHeight="1" x14ac:dyDescent="0.25">
      <c r="A42" s="106">
        <f t="shared" si="1"/>
        <v>46321</v>
      </c>
      <c r="B42" s="103" t="e">
        <f>VLOOKUP($A42,Stunden!$D:$V,2,FALSE)</f>
        <v>#N/A</v>
      </c>
      <c r="C42" s="103" t="e">
        <f>VLOOKUP($A42,Stunden!$D:$V,3,FALSE)</f>
        <v>#N/A</v>
      </c>
      <c r="D42" s="103" t="e">
        <f>VLOOKUP($A42,Stunden!$D:$V,4,FALSE)</f>
        <v>#N/A</v>
      </c>
      <c r="E42" s="103">
        <v>0.5</v>
      </c>
      <c r="F42" s="103" t="e">
        <f t="shared" si="0"/>
        <v>#N/A</v>
      </c>
      <c r="G42" s="103"/>
      <c r="H42" s="103" t="e">
        <f>IF(VLOOKUP($A42,Stunden!$D:$V,17,FALSE)=0,"",VLOOKUP($A42,Stunden!$D:$V,17,FALSE))</f>
        <v>#N/A</v>
      </c>
      <c r="J42" s="104"/>
    </row>
    <row r="43" spans="1:10" s="105" customFormat="1" ht="20.100000000000001" customHeight="1" x14ac:dyDescent="0.25">
      <c r="A43" s="106">
        <f t="shared" si="1"/>
        <v>46322</v>
      </c>
      <c r="B43" s="103" t="e">
        <f>VLOOKUP($A43,Stunden!$D:$V,2,FALSE)</f>
        <v>#N/A</v>
      </c>
      <c r="C43" s="103" t="e">
        <f>VLOOKUP($A43,Stunden!$D:$V,3,FALSE)</f>
        <v>#N/A</v>
      </c>
      <c r="D43" s="103" t="e">
        <f>VLOOKUP($A43,Stunden!$D:$V,4,FALSE)</f>
        <v>#N/A</v>
      </c>
      <c r="E43" s="103">
        <v>0.5</v>
      </c>
      <c r="F43" s="103" t="e">
        <f t="shared" si="0"/>
        <v>#N/A</v>
      </c>
      <c r="G43" s="103"/>
      <c r="H43" s="103" t="e">
        <f>IF(VLOOKUP($A43,Stunden!$D:$V,17,FALSE)=0,"",VLOOKUP($A43,Stunden!$D:$V,17,FALSE))</f>
        <v>#N/A</v>
      </c>
      <c r="J43" s="104"/>
    </row>
    <row r="44" spans="1:10" s="105" customFormat="1" ht="20.100000000000001" customHeight="1" x14ac:dyDescent="0.25">
      <c r="A44" s="106">
        <f t="shared" si="1"/>
        <v>46323</v>
      </c>
      <c r="B44" s="103" t="e">
        <f>VLOOKUP($A44,Stunden!$D:$V,2,FALSE)</f>
        <v>#N/A</v>
      </c>
      <c r="C44" s="103" t="e">
        <f>VLOOKUP($A44,Stunden!$D:$V,3,FALSE)</f>
        <v>#N/A</v>
      </c>
      <c r="D44" s="103" t="e">
        <f>VLOOKUP($A44,Stunden!$D:$V,4,FALSE)</f>
        <v>#N/A</v>
      </c>
      <c r="E44" s="103">
        <v>0.5</v>
      </c>
      <c r="F44" s="103" t="e">
        <f t="shared" si="0"/>
        <v>#N/A</v>
      </c>
      <c r="G44" s="103"/>
      <c r="H44" s="103" t="e">
        <f>IF(VLOOKUP($A44,Stunden!$D:$V,17,FALSE)=0,"",VLOOKUP($A44,Stunden!$D:$V,17,FALSE))</f>
        <v>#N/A</v>
      </c>
      <c r="J44" s="104"/>
    </row>
    <row r="45" spans="1:10" s="105" customFormat="1" ht="20.100000000000001" customHeight="1" x14ac:dyDescent="0.25">
      <c r="A45" s="106">
        <f t="shared" si="1"/>
        <v>46324</v>
      </c>
      <c r="B45" s="103" t="e">
        <f>VLOOKUP($A45,Stunden!$D:$V,2,FALSE)</f>
        <v>#N/A</v>
      </c>
      <c r="C45" s="103" t="e">
        <f>VLOOKUP($A45,Stunden!$D:$V,3,FALSE)</f>
        <v>#N/A</v>
      </c>
      <c r="D45" s="103" t="e">
        <f>VLOOKUP($A45,Stunden!$D:$V,4,FALSE)</f>
        <v>#N/A</v>
      </c>
      <c r="E45" s="103">
        <v>0.5</v>
      </c>
      <c r="F45" s="103" t="e">
        <f t="shared" si="0"/>
        <v>#N/A</v>
      </c>
      <c r="G45" s="103"/>
      <c r="H45" s="103" t="e">
        <f>IF(VLOOKUP($A45,Stunden!$D:$V,17,FALSE)=0,"",VLOOKUP($A45,Stunden!$D:$V,17,FALSE))</f>
        <v>#N/A</v>
      </c>
      <c r="J45" s="104"/>
    </row>
    <row r="46" spans="1:10" s="105" customFormat="1" ht="20.100000000000001" customHeight="1" x14ac:dyDescent="0.25">
      <c r="A46" s="106">
        <f t="shared" si="1"/>
        <v>46325</v>
      </c>
      <c r="B46" s="103" t="e">
        <f>VLOOKUP($A46,Stunden!$D:$V,2,FALSE)</f>
        <v>#N/A</v>
      </c>
      <c r="C46" s="103" t="e">
        <f>VLOOKUP($A46,Stunden!$D:$V,3,FALSE)</f>
        <v>#N/A</v>
      </c>
      <c r="D46" s="103" t="e">
        <f>VLOOKUP($A46,Stunden!$D:$V,4,FALSE)</f>
        <v>#N/A</v>
      </c>
      <c r="E46" s="103">
        <v>0.5</v>
      </c>
      <c r="F46" s="103" t="e">
        <f t="shared" si="0"/>
        <v>#N/A</v>
      </c>
      <c r="G46" s="103"/>
      <c r="H46" s="103" t="e">
        <f>IF(VLOOKUP($A46,Stunden!$D:$V,17,FALSE)=0,"",VLOOKUP($A46,Stunden!$D:$V,17,FALSE))</f>
        <v>#N/A</v>
      </c>
      <c r="J46" s="104"/>
    </row>
    <row r="47" spans="1:10" s="105" customFormat="1" ht="20.100000000000001" customHeight="1" x14ac:dyDescent="0.25">
      <c r="A47" s="106">
        <f t="shared" si="1"/>
        <v>46326</v>
      </c>
      <c r="B47" s="103" t="e">
        <f>VLOOKUP($A47,Stunden!$D:$V,2,FALSE)</f>
        <v>#N/A</v>
      </c>
      <c r="C47" s="103" t="e">
        <f>VLOOKUP($A47,Stunden!$D:$V,3,FALSE)</f>
        <v>#N/A</v>
      </c>
      <c r="D47" s="103" t="e">
        <f>VLOOKUP($A47,Stunden!$D:$V,4,FALSE)</f>
        <v>#N/A</v>
      </c>
      <c r="E47" s="103">
        <v>0.5</v>
      </c>
      <c r="F47" s="103" t="e">
        <f t="shared" si="0"/>
        <v>#N/A</v>
      </c>
      <c r="G47" s="103"/>
      <c r="H47" s="103" t="e">
        <f>IF(VLOOKUP($A47,Stunden!$D:$V,17,FALSE)=0,"",VLOOKUP($A47,Stunden!$D:$V,17,FALSE))</f>
        <v>#N/A</v>
      </c>
      <c r="J47" s="104"/>
    </row>
    <row r="49" spans="10:10" x14ac:dyDescent="0.2">
      <c r="J49" s="119"/>
    </row>
  </sheetData>
  <mergeCells count="2">
    <mergeCell ref="C6:G6"/>
    <mergeCell ref="C11:G11"/>
  </mergeCells>
  <pageMargins left="0.70866141732283472" right="0.31496062992125984" top="0.39370078740157483" bottom="0.39370078740157483" header="0.31496062992125984" footer="0.31496062992125984"/>
  <pageSetup paperSize="9" orientation="portrait" r:id="rId1"/>
  <headerFooter>
    <oddFooter>&amp;C_x000D_&amp;1#&amp;"Arial"&amp;8&amp;K869197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2</xdr:col>
                    <xdr:colOff>447675</xdr:colOff>
                    <xdr:row>6</xdr:row>
                    <xdr:rowOff>142875</xdr:rowOff>
                  </from>
                  <to>
                    <xdr:col>2</xdr:col>
                    <xdr:colOff>752475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476250</xdr:colOff>
                    <xdr:row>6</xdr:row>
                    <xdr:rowOff>38100</xdr:rowOff>
                  </from>
                  <to>
                    <xdr:col>5</xdr:col>
                    <xdr:colOff>142875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752475</xdr:colOff>
                    <xdr:row>7</xdr:row>
                    <xdr:rowOff>152400</xdr:rowOff>
                  </from>
                  <to>
                    <xdr:col>5</xdr:col>
                    <xdr:colOff>419100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3</xdr:col>
                    <xdr:colOff>47625</xdr:colOff>
                    <xdr:row>7</xdr:row>
                    <xdr:rowOff>152400</xdr:rowOff>
                  </from>
                  <to>
                    <xdr:col>3</xdr:col>
                    <xdr:colOff>485775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3</xdr:col>
                    <xdr:colOff>438150</xdr:colOff>
                    <xdr:row>6</xdr:row>
                    <xdr:rowOff>47625</xdr:rowOff>
                  </from>
                  <to>
                    <xdr:col>4</xdr:col>
                    <xdr:colOff>104775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BECB6-3065-47B9-8725-703F46866029}">
  <sheetPr codeName="Sheet19">
    <pageSetUpPr fitToPage="1"/>
  </sheetPr>
  <dimension ref="A6:J49"/>
  <sheetViews>
    <sheetView topLeftCell="A4" zoomScale="85" zoomScaleNormal="85" workbookViewId="0">
      <selection activeCell="C7" sqref="C7"/>
    </sheetView>
  </sheetViews>
  <sheetFormatPr defaultColWidth="11.42578125" defaultRowHeight="14.25" x14ac:dyDescent="0.2"/>
  <cols>
    <col min="1" max="1" width="12.85546875" style="98" customWidth="1"/>
    <col min="2" max="7" width="11.42578125" style="98"/>
    <col min="8" max="8" width="53.42578125" style="98" customWidth="1"/>
    <col min="9" max="16384" width="11.42578125" style="98"/>
  </cols>
  <sheetData>
    <row r="6" spans="1:8" ht="15" x14ac:dyDescent="0.25">
      <c r="A6" s="97" t="s">
        <v>172</v>
      </c>
      <c r="C6" s="228" t="str">
        <f>'pers. Daten'!O6</f>
        <v>Burke, André</v>
      </c>
      <c r="D6" s="228"/>
      <c r="E6" s="228"/>
      <c r="F6" s="228"/>
      <c r="G6" s="228"/>
    </row>
    <row r="7" spans="1:8" x14ac:dyDescent="0.2">
      <c r="C7" s="100"/>
    </row>
    <row r="8" spans="1:8" ht="15" x14ac:dyDescent="0.25">
      <c r="A8" s="97" t="s">
        <v>173</v>
      </c>
      <c r="C8" s="100" t="s">
        <v>174</v>
      </c>
      <c r="D8" s="98" t="s">
        <v>175</v>
      </c>
      <c r="E8" s="98" t="s">
        <v>176</v>
      </c>
      <c r="F8" s="98" t="s">
        <v>177</v>
      </c>
    </row>
    <row r="9" spans="1:8" ht="23.25" customHeight="1" x14ac:dyDescent="0.2">
      <c r="C9" s="100" t="s">
        <v>178</v>
      </c>
      <c r="E9" s="98" t="s">
        <v>179</v>
      </c>
    </row>
    <row r="10" spans="1:8" x14ac:dyDescent="0.2">
      <c r="C10" s="100"/>
    </row>
    <row r="11" spans="1:8" ht="15" x14ac:dyDescent="0.25">
      <c r="A11" s="97" t="s">
        <v>31</v>
      </c>
      <c r="C11" s="228" t="str">
        <f>'pers. Daten'!O1</f>
        <v>??</v>
      </c>
      <c r="D11" s="228"/>
      <c r="E11" s="228"/>
      <c r="F11" s="228"/>
      <c r="G11" s="228"/>
    </row>
    <row r="12" spans="1:8" x14ac:dyDescent="0.2">
      <c r="C12" s="100"/>
      <c r="H12" s="107"/>
    </row>
    <row r="13" spans="1:8" ht="15" x14ac:dyDescent="0.25">
      <c r="A13" s="97" t="s">
        <v>180</v>
      </c>
      <c r="C13" s="99">
        <f>MONTH(A17)</f>
        <v>11</v>
      </c>
      <c r="D13" s="108" t="str">
        <f>TEXT(DATE(1,C13,1),"MMMM")</f>
        <v>November</v>
      </c>
      <c r="E13" s="108"/>
      <c r="F13" s="108"/>
      <c r="G13" s="108"/>
    </row>
    <row r="16" spans="1:8" s="101" customFormat="1" ht="33" customHeight="1" x14ac:dyDescent="0.25">
      <c r="B16" s="102" t="s">
        <v>181</v>
      </c>
      <c r="C16" s="102" t="s">
        <v>182</v>
      </c>
      <c r="D16" s="102" t="s">
        <v>185</v>
      </c>
      <c r="E16" s="102" t="s">
        <v>186</v>
      </c>
      <c r="F16" s="102" t="s">
        <v>183</v>
      </c>
      <c r="G16" s="102"/>
      <c r="H16" s="102" t="s">
        <v>184</v>
      </c>
    </row>
    <row r="17" spans="1:10" s="105" customFormat="1" ht="20.100000000000001" customHeight="1" x14ac:dyDescent="0.25">
      <c r="A17" s="106">
        <v>46327</v>
      </c>
      <c r="B17" s="103" t="e">
        <f>VLOOKUP($A17,Stunden!$D:$V,2,FALSE)</f>
        <v>#N/A</v>
      </c>
      <c r="C17" s="103" t="e">
        <f>VLOOKUP($A17,Stunden!$D:$V,3,FALSE)</f>
        <v>#N/A</v>
      </c>
      <c r="D17" s="103" t="e">
        <f>VLOOKUP($A17,Stunden!$D:$V,4,FALSE)</f>
        <v>#N/A</v>
      </c>
      <c r="E17" s="103">
        <v>0.5</v>
      </c>
      <c r="F17" s="103" t="e">
        <f>E17+D17</f>
        <v>#N/A</v>
      </c>
      <c r="G17" s="103"/>
      <c r="H17" s="103" t="e">
        <f>IF(VLOOKUP($A17,Stunden!$D:$V,17,FALSE)=0,"",VLOOKUP($A17,Stunden!$D:$V,17,FALSE))</f>
        <v>#N/A</v>
      </c>
      <c r="I17" s="104"/>
      <c r="J17" s="104"/>
    </row>
    <row r="18" spans="1:10" s="105" customFormat="1" ht="20.100000000000001" customHeight="1" x14ac:dyDescent="0.25">
      <c r="A18" s="106">
        <f>A17+1</f>
        <v>46328</v>
      </c>
      <c r="B18" s="103" t="e">
        <f>VLOOKUP($A18,Stunden!$D:$V,2,FALSE)</f>
        <v>#N/A</v>
      </c>
      <c r="C18" s="103" t="e">
        <f>VLOOKUP($A18,Stunden!$D:$V,3,FALSE)</f>
        <v>#N/A</v>
      </c>
      <c r="D18" s="103" t="e">
        <f>VLOOKUP($A18,Stunden!$D:$V,4,FALSE)</f>
        <v>#N/A</v>
      </c>
      <c r="E18" s="103">
        <v>0.5</v>
      </c>
      <c r="F18" s="103" t="e">
        <f t="shared" ref="F18:F47" si="0">E18+D18</f>
        <v>#N/A</v>
      </c>
      <c r="G18" s="103"/>
      <c r="H18" s="103" t="e">
        <f>IF(VLOOKUP($A18,Stunden!$D:$V,17,FALSE)=0,"",VLOOKUP($A18,Stunden!$D:$V,17,FALSE))</f>
        <v>#N/A</v>
      </c>
      <c r="I18" s="104"/>
      <c r="J18" s="104"/>
    </row>
    <row r="19" spans="1:10" s="105" customFormat="1" ht="20.100000000000001" customHeight="1" x14ac:dyDescent="0.25">
      <c r="A19" s="106">
        <f t="shared" ref="A19:A47" si="1">A18+1</f>
        <v>46329</v>
      </c>
      <c r="B19" s="103" t="e">
        <f>VLOOKUP($A19,Stunden!$D:$V,2,FALSE)</f>
        <v>#N/A</v>
      </c>
      <c r="C19" s="103" t="e">
        <f>VLOOKUP($A19,Stunden!$D:$V,3,FALSE)</f>
        <v>#N/A</v>
      </c>
      <c r="D19" s="103" t="e">
        <f>VLOOKUP($A19,Stunden!$D:$V,4,FALSE)</f>
        <v>#N/A</v>
      </c>
      <c r="E19" s="103">
        <v>0.5</v>
      </c>
      <c r="F19" s="103" t="e">
        <f t="shared" si="0"/>
        <v>#N/A</v>
      </c>
      <c r="G19" s="103"/>
      <c r="H19" s="103" t="e">
        <f>IF(VLOOKUP($A19,Stunden!$D:$V,17,FALSE)=0,"",VLOOKUP($A19,Stunden!$D:$V,17,FALSE))</f>
        <v>#N/A</v>
      </c>
      <c r="I19" s="104"/>
      <c r="J19" s="104"/>
    </row>
    <row r="20" spans="1:10" s="105" customFormat="1" ht="20.100000000000001" customHeight="1" x14ac:dyDescent="0.25">
      <c r="A20" s="106">
        <f t="shared" si="1"/>
        <v>46330</v>
      </c>
      <c r="B20" s="103" t="e">
        <f>VLOOKUP($A20,Stunden!$D:$V,2,FALSE)</f>
        <v>#N/A</v>
      </c>
      <c r="C20" s="103" t="e">
        <f>VLOOKUP($A20,Stunden!$D:$V,3,FALSE)</f>
        <v>#N/A</v>
      </c>
      <c r="D20" s="103" t="e">
        <f>VLOOKUP($A20,Stunden!$D:$V,4,FALSE)</f>
        <v>#N/A</v>
      </c>
      <c r="E20" s="103">
        <v>0.5</v>
      </c>
      <c r="F20" s="103" t="e">
        <f t="shared" si="0"/>
        <v>#N/A</v>
      </c>
      <c r="G20" s="103"/>
      <c r="H20" s="103" t="e">
        <f>IF(VLOOKUP($A20,Stunden!$D:$V,17,FALSE)=0,"",VLOOKUP($A20,Stunden!$D:$V,17,FALSE))</f>
        <v>#N/A</v>
      </c>
      <c r="I20" s="104"/>
      <c r="J20" s="104"/>
    </row>
    <row r="21" spans="1:10" s="105" customFormat="1" ht="20.100000000000001" customHeight="1" x14ac:dyDescent="0.25">
      <c r="A21" s="106">
        <f t="shared" si="1"/>
        <v>46331</v>
      </c>
      <c r="B21" s="103" t="e">
        <f>VLOOKUP($A21,Stunden!$D:$V,2,FALSE)</f>
        <v>#N/A</v>
      </c>
      <c r="C21" s="103" t="e">
        <f>VLOOKUP($A21,Stunden!$D:$V,3,FALSE)</f>
        <v>#N/A</v>
      </c>
      <c r="D21" s="103" t="e">
        <f>VLOOKUP($A21,Stunden!$D:$V,4,FALSE)</f>
        <v>#N/A</v>
      </c>
      <c r="E21" s="103">
        <v>0.5</v>
      </c>
      <c r="F21" s="103" t="e">
        <f t="shared" si="0"/>
        <v>#N/A</v>
      </c>
      <c r="G21" s="103"/>
      <c r="H21" s="103" t="e">
        <f>IF(VLOOKUP($A21,Stunden!$D:$V,17,FALSE)=0,"",VLOOKUP($A21,Stunden!$D:$V,17,FALSE))</f>
        <v>#N/A</v>
      </c>
      <c r="I21" s="104"/>
      <c r="J21" s="104"/>
    </row>
    <row r="22" spans="1:10" s="105" customFormat="1" ht="20.100000000000001" customHeight="1" x14ac:dyDescent="0.25">
      <c r="A22" s="106">
        <f t="shared" si="1"/>
        <v>46332</v>
      </c>
      <c r="B22" s="103" t="e">
        <f>VLOOKUP($A22,Stunden!$D:$V,2,FALSE)</f>
        <v>#N/A</v>
      </c>
      <c r="C22" s="103" t="e">
        <f>VLOOKUP($A22,Stunden!$D:$V,3,FALSE)</f>
        <v>#N/A</v>
      </c>
      <c r="D22" s="103" t="e">
        <f>VLOOKUP($A22,Stunden!$D:$V,4,FALSE)</f>
        <v>#N/A</v>
      </c>
      <c r="E22" s="103">
        <v>0.5</v>
      </c>
      <c r="F22" s="103" t="e">
        <f t="shared" si="0"/>
        <v>#N/A</v>
      </c>
      <c r="G22" s="103"/>
      <c r="H22" s="103" t="e">
        <f>IF(VLOOKUP($A22,Stunden!$D:$V,17,FALSE)=0,"",VLOOKUP($A22,Stunden!$D:$V,17,FALSE))</f>
        <v>#N/A</v>
      </c>
      <c r="J22" s="104"/>
    </row>
    <row r="23" spans="1:10" s="105" customFormat="1" ht="20.100000000000001" customHeight="1" x14ac:dyDescent="0.25">
      <c r="A23" s="106">
        <f t="shared" si="1"/>
        <v>46333</v>
      </c>
      <c r="B23" s="103" t="e">
        <f>VLOOKUP($A23,Stunden!$D:$V,2,FALSE)</f>
        <v>#N/A</v>
      </c>
      <c r="C23" s="103" t="e">
        <f>VLOOKUP($A23,Stunden!$D:$V,3,FALSE)</f>
        <v>#N/A</v>
      </c>
      <c r="D23" s="103" t="e">
        <f>VLOOKUP($A23,Stunden!$D:$V,4,FALSE)</f>
        <v>#N/A</v>
      </c>
      <c r="E23" s="103">
        <v>0.5</v>
      </c>
      <c r="F23" s="103" t="e">
        <f t="shared" si="0"/>
        <v>#N/A</v>
      </c>
      <c r="G23" s="103"/>
      <c r="H23" s="103" t="e">
        <f>IF(VLOOKUP($A23,Stunden!$D:$V,17,FALSE)=0,"",VLOOKUP($A23,Stunden!$D:$V,17,FALSE))</f>
        <v>#N/A</v>
      </c>
      <c r="J23" s="104"/>
    </row>
    <row r="24" spans="1:10" s="105" customFormat="1" ht="20.100000000000001" customHeight="1" x14ac:dyDescent="0.25">
      <c r="A24" s="106">
        <f t="shared" si="1"/>
        <v>46334</v>
      </c>
      <c r="B24" s="103" t="e">
        <f>VLOOKUP($A24,Stunden!$D:$V,2,FALSE)</f>
        <v>#N/A</v>
      </c>
      <c r="C24" s="103" t="e">
        <f>VLOOKUP($A24,Stunden!$D:$V,3,FALSE)</f>
        <v>#N/A</v>
      </c>
      <c r="D24" s="103" t="e">
        <f>VLOOKUP($A24,Stunden!$D:$V,4,FALSE)</f>
        <v>#N/A</v>
      </c>
      <c r="E24" s="103">
        <v>0.5</v>
      </c>
      <c r="F24" s="103" t="e">
        <f t="shared" si="0"/>
        <v>#N/A</v>
      </c>
      <c r="G24" s="103"/>
      <c r="H24" s="103" t="e">
        <f>IF(VLOOKUP($A24,Stunden!$D:$V,17,FALSE)=0,"",VLOOKUP($A24,Stunden!$D:$V,17,FALSE))</f>
        <v>#N/A</v>
      </c>
      <c r="J24" s="104"/>
    </row>
    <row r="25" spans="1:10" s="105" customFormat="1" ht="20.100000000000001" customHeight="1" x14ac:dyDescent="0.25">
      <c r="A25" s="106">
        <f t="shared" si="1"/>
        <v>46335</v>
      </c>
      <c r="B25" s="103" t="e">
        <f>VLOOKUP($A25,Stunden!$D:$V,2,FALSE)</f>
        <v>#N/A</v>
      </c>
      <c r="C25" s="103" t="e">
        <f>VLOOKUP($A25,Stunden!$D:$V,3,FALSE)</f>
        <v>#N/A</v>
      </c>
      <c r="D25" s="103" t="e">
        <f>VLOOKUP($A25,Stunden!$D:$V,4,FALSE)</f>
        <v>#N/A</v>
      </c>
      <c r="E25" s="103">
        <v>0.5</v>
      </c>
      <c r="F25" s="103" t="e">
        <f t="shared" si="0"/>
        <v>#N/A</v>
      </c>
      <c r="G25" s="103"/>
      <c r="H25" s="103" t="e">
        <f>IF(VLOOKUP($A25,Stunden!$D:$V,17,FALSE)=0,"",VLOOKUP($A25,Stunden!$D:$V,17,FALSE))</f>
        <v>#N/A</v>
      </c>
      <c r="J25" s="104"/>
    </row>
    <row r="26" spans="1:10" s="105" customFormat="1" ht="20.100000000000001" customHeight="1" x14ac:dyDescent="0.25">
      <c r="A26" s="106">
        <f t="shared" si="1"/>
        <v>46336</v>
      </c>
      <c r="B26" s="103" t="e">
        <f>VLOOKUP($A26,Stunden!$D:$V,2,FALSE)</f>
        <v>#N/A</v>
      </c>
      <c r="C26" s="103" t="e">
        <f>VLOOKUP($A26,Stunden!$D:$V,3,FALSE)</f>
        <v>#N/A</v>
      </c>
      <c r="D26" s="103" t="e">
        <f>VLOOKUP($A26,Stunden!$D:$V,4,FALSE)</f>
        <v>#N/A</v>
      </c>
      <c r="E26" s="103">
        <v>0.5</v>
      </c>
      <c r="F26" s="103" t="e">
        <f t="shared" si="0"/>
        <v>#N/A</v>
      </c>
      <c r="G26" s="103"/>
      <c r="H26" s="103" t="e">
        <f>IF(VLOOKUP($A26,Stunden!$D:$V,17,FALSE)=0,"",VLOOKUP($A26,Stunden!$D:$V,17,FALSE))</f>
        <v>#N/A</v>
      </c>
      <c r="J26" s="104"/>
    </row>
    <row r="27" spans="1:10" s="105" customFormat="1" ht="20.100000000000001" customHeight="1" x14ac:dyDescent="0.25">
      <c r="A27" s="106">
        <f t="shared" si="1"/>
        <v>46337</v>
      </c>
      <c r="B27" s="103" t="e">
        <f>VLOOKUP($A27,Stunden!$D:$V,2,FALSE)</f>
        <v>#N/A</v>
      </c>
      <c r="C27" s="103" t="e">
        <f>VLOOKUP($A27,Stunden!$D:$V,3,FALSE)</f>
        <v>#N/A</v>
      </c>
      <c r="D27" s="103" t="e">
        <f>VLOOKUP($A27,Stunden!$D:$V,4,FALSE)</f>
        <v>#N/A</v>
      </c>
      <c r="E27" s="103">
        <v>0.5</v>
      </c>
      <c r="F27" s="103" t="e">
        <f t="shared" si="0"/>
        <v>#N/A</v>
      </c>
      <c r="G27" s="103"/>
      <c r="H27" s="103" t="e">
        <f>IF(VLOOKUP($A27,Stunden!$D:$V,17,FALSE)=0,"",VLOOKUP($A27,Stunden!$D:$V,17,FALSE))</f>
        <v>#N/A</v>
      </c>
      <c r="J27" s="104"/>
    </row>
    <row r="28" spans="1:10" s="105" customFormat="1" ht="20.100000000000001" customHeight="1" x14ac:dyDescent="0.25">
      <c r="A28" s="106">
        <f t="shared" si="1"/>
        <v>46338</v>
      </c>
      <c r="B28" s="103" t="e">
        <f>VLOOKUP($A28,Stunden!$D:$V,2,FALSE)</f>
        <v>#N/A</v>
      </c>
      <c r="C28" s="103" t="e">
        <f>VLOOKUP($A28,Stunden!$D:$V,3,FALSE)</f>
        <v>#N/A</v>
      </c>
      <c r="D28" s="103" t="e">
        <f>VLOOKUP($A28,Stunden!$D:$V,4,FALSE)</f>
        <v>#N/A</v>
      </c>
      <c r="E28" s="103">
        <v>0.5</v>
      </c>
      <c r="F28" s="103" t="e">
        <f t="shared" si="0"/>
        <v>#N/A</v>
      </c>
      <c r="G28" s="103"/>
      <c r="H28" s="103" t="e">
        <f>IF(VLOOKUP($A28,Stunden!$D:$V,17,FALSE)=0,"",VLOOKUP($A28,Stunden!$D:$V,17,FALSE))</f>
        <v>#N/A</v>
      </c>
      <c r="J28" s="104"/>
    </row>
    <row r="29" spans="1:10" s="105" customFormat="1" ht="20.100000000000001" customHeight="1" x14ac:dyDescent="0.25">
      <c r="A29" s="106">
        <f t="shared" si="1"/>
        <v>46339</v>
      </c>
      <c r="B29" s="103" t="e">
        <f>VLOOKUP($A29,Stunden!$D:$V,2,FALSE)</f>
        <v>#N/A</v>
      </c>
      <c r="C29" s="103" t="e">
        <f>VLOOKUP($A29,Stunden!$D:$V,3,FALSE)</f>
        <v>#N/A</v>
      </c>
      <c r="D29" s="103" t="e">
        <f>VLOOKUP($A29,Stunden!$D:$V,4,FALSE)</f>
        <v>#N/A</v>
      </c>
      <c r="E29" s="103">
        <v>0.5</v>
      </c>
      <c r="F29" s="103" t="e">
        <f t="shared" si="0"/>
        <v>#N/A</v>
      </c>
      <c r="G29" s="103"/>
      <c r="H29" s="103" t="e">
        <f>IF(VLOOKUP($A29,Stunden!$D:$V,17,FALSE)=0,"",VLOOKUP($A29,Stunden!$D:$V,17,FALSE))</f>
        <v>#N/A</v>
      </c>
      <c r="J29" s="104"/>
    </row>
    <row r="30" spans="1:10" s="105" customFormat="1" ht="20.100000000000001" customHeight="1" x14ac:dyDescent="0.25">
      <c r="A30" s="106">
        <f t="shared" si="1"/>
        <v>46340</v>
      </c>
      <c r="B30" s="103" t="e">
        <f>VLOOKUP($A30,Stunden!$D:$V,2,FALSE)</f>
        <v>#N/A</v>
      </c>
      <c r="C30" s="103" t="e">
        <f>VLOOKUP($A30,Stunden!$D:$V,3,FALSE)</f>
        <v>#N/A</v>
      </c>
      <c r="D30" s="103" t="e">
        <f>VLOOKUP($A30,Stunden!$D:$V,4,FALSE)</f>
        <v>#N/A</v>
      </c>
      <c r="E30" s="103">
        <v>0.5</v>
      </c>
      <c r="F30" s="103" t="e">
        <f t="shared" si="0"/>
        <v>#N/A</v>
      </c>
      <c r="G30" s="103"/>
      <c r="H30" s="103" t="e">
        <f>IF(VLOOKUP($A30,Stunden!$D:$V,17,FALSE)=0,"",VLOOKUP($A30,Stunden!$D:$V,17,FALSE))</f>
        <v>#N/A</v>
      </c>
      <c r="J30" s="104"/>
    </row>
    <row r="31" spans="1:10" s="105" customFormat="1" ht="20.100000000000001" customHeight="1" x14ac:dyDescent="0.25">
      <c r="A31" s="106">
        <f t="shared" si="1"/>
        <v>46341</v>
      </c>
      <c r="B31" s="103" t="e">
        <f>VLOOKUP($A31,Stunden!$D:$V,2,FALSE)</f>
        <v>#N/A</v>
      </c>
      <c r="C31" s="103" t="e">
        <f>VLOOKUP($A31,Stunden!$D:$V,3,FALSE)</f>
        <v>#N/A</v>
      </c>
      <c r="D31" s="103" t="e">
        <f>VLOOKUP($A31,Stunden!$D:$V,4,FALSE)</f>
        <v>#N/A</v>
      </c>
      <c r="E31" s="103">
        <v>0.5</v>
      </c>
      <c r="F31" s="103" t="e">
        <f t="shared" si="0"/>
        <v>#N/A</v>
      </c>
      <c r="G31" s="103"/>
      <c r="H31" s="103" t="e">
        <f>IF(VLOOKUP($A31,Stunden!$D:$V,17,FALSE)=0,"",VLOOKUP($A31,Stunden!$D:$V,17,FALSE))</f>
        <v>#N/A</v>
      </c>
      <c r="J31" s="104"/>
    </row>
    <row r="32" spans="1:10" s="105" customFormat="1" ht="20.100000000000001" customHeight="1" x14ac:dyDescent="0.25">
      <c r="A32" s="106">
        <f t="shared" si="1"/>
        <v>46342</v>
      </c>
      <c r="B32" s="103" t="e">
        <f>VLOOKUP($A32,Stunden!$D:$V,2,FALSE)</f>
        <v>#N/A</v>
      </c>
      <c r="C32" s="103" t="e">
        <f>VLOOKUP($A32,Stunden!$D:$V,3,FALSE)</f>
        <v>#N/A</v>
      </c>
      <c r="D32" s="103" t="e">
        <f>VLOOKUP($A32,Stunden!$D:$V,4,FALSE)</f>
        <v>#N/A</v>
      </c>
      <c r="E32" s="103">
        <v>0.5</v>
      </c>
      <c r="F32" s="103" t="e">
        <f t="shared" si="0"/>
        <v>#N/A</v>
      </c>
      <c r="G32" s="103"/>
      <c r="H32" s="103" t="e">
        <f>IF(VLOOKUP($A32,Stunden!$D:$V,17,FALSE)=0,"",VLOOKUP($A32,Stunden!$D:$V,17,FALSE))</f>
        <v>#N/A</v>
      </c>
      <c r="J32" s="104"/>
    </row>
    <row r="33" spans="1:10" s="105" customFormat="1" ht="20.100000000000001" customHeight="1" x14ac:dyDescent="0.25">
      <c r="A33" s="106">
        <f t="shared" si="1"/>
        <v>46343</v>
      </c>
      <c r="B33" s="103" t="e">
        <f>VLOOKUP($A33,Stunden!$D:$V,2,FALSE)</f>
        <v>#N/A</v>
      </c>
      <c r="C33" s="103" t="e">
        <f>VLOOKUP($A33,Stunden!$D:$V,3,FALSE)</f>
        <v>#N/A</v>
      </c>
      <c r="D33" s="103" t="e">
        <f>VLOOKUP($A33,Stunden!$D:$V,4,FALSE)</f>
        <v>#N/A</v>
      </c>
      <c r="E33" s="103">
        <v>0.5</v>
      </c>
      <c r="F33" s="103" t="e">
        <f t="shared" si="0"/>
        <v>#N/A</v>
      </c>
      <c r="G33" s="103"/>
      <c r="H33" s="103" t="e">
        <f>IF(VLOOKUP($A33,Stunden!$D:$V,17,FALSE)=0,"",VLOOKUP($A33,Stunden!$D:$V,17,FALSE))</f>
        <v>#N/A</v>
      </c>
      <c r="J33" s="104"/>
    </row>
    <row r="34" spans="1:10" s="105" customFormat="1" ht="20.100000000000001" customHeight="1" x14ac:dyDescent="0.25">
      <c r="A34" s="106">
        <f t="shared" si="1"/>
        <v>46344</v>
      </c>
      <c r="B34" s="103" t="e">
        <f>VLOOKUP($A34,Stunden!$D:$V,2,FALSE)</f>
        <v>#N/A</v>
      </c>
      <c r="C34" s="103" t="e">
        <f>VLOOKUP($A34,Stunden!$D:$V,3,FALSE)</f>
        <v>#N/A</v>
      </c>
      <c r="D34" s="103" t="e">
        <f>VLOOKUP($A34,Stunden!$D:$V,4,FALSE)</f>
        <v>#N/A</v>
      </c>
      <c r="E34" s="103">
        <v>0.5</v>
      </c>
      <c r="F34" s="103" t="e">
        <f t="shared" si="0"/>
        <v>#N/A</v>
      </c>
      <c r="G34" s="103"/>
      <c r="H34" s="103" t="e">
        <f>IF(VLOOKUP($A34,Stunden!$D:$V,17,FALSE)=0,"",VLOOKUP($A34,Stunden!$D:$V,17,FALSE))</f>
        <v>#N/A</v>
      </c>
      <c r="J34" s="104"/>
    </row>
    <row r="35" spans="1:10" s="105" customFormat="1" ht="20.100000000000001" customHeight="1" x14ac:dyDescent="0.25">
      <c r="A35" s="106">
        <f t="shared" si="1"/>
        <v>46345</v>
      </c>
      <c r="B35" s="103" t="e">
        <f>VLOOKUP($A35,Stunden!$D:$V,2,FALSE)</f>
        <v>#N/A</v>
      </c>
      <c r="C35" s="103" t="e">
        <f>VLOOKUP($A35,Stunden!$D:$V,3,FALSE)</f>
        <v>#N/A</v>
      </c>
      <c r="D35" s="103" t="e">
        <f>VLOOKUP($A35,Stunden!$D:$V,4,FALSE)</f>
        <v>#N/A</v>
      </c>
      <c r="E35" s="103">
        <v>0.5</v>
      </c>
      <c r="F35" s="103" t="e">
        <f t="shared" si="0"/>
        <v>#N/A</v>
      </c>
      <c r="G35" s="103"/>
      <c r="H35" s="103" t="e">
        <f>IF(VLOOKUP($A35,Stunden!$D:$V,17,FALSE)=0,"",VLOOKUP($A35,Stunden!$D:$V,17,FALSE))</f>
        <v>#N/A</v>
      </c>
      <c r="J35" s="104"/>
    </row>
    <row r="36" spans="1:10" s="105" customFormat="1" ht="20.100000000000001" customHeight="1" x14ac:dyDescent="0.25">
      <c r="A36" s="106">
        <f t="shared" si="1"/>
        <v>46346</v>
      </c>
      <c r="B36" s="103" t="e">
        <f>VLOOKUP($A36,Stunden!$D:$V,2,FALSE)</f>
        <v>#N/A</v>
      </c>
      <c r="C36" s="103" t="e">
        <f>VLOOKUP($A36,Stunden!$D:$V,3,FALSE)</f>
        <v>#N/A</v>
      </c>
      <c r="D36" s="103" t="e">
        <f>VLOOKUP($A36,Stunden!$D:$V,4,FALSE)</f>
        <v>#N/A</v>
      </c>
      <c r="E36" s="103">
        <v>0.5</v>
      </c>
      <c r="F36" s="103" t="e">
        <f t="shared" si="0"/>
        <v>#N/A</v>
      </c>
      <c r="G36" s="103"/>
      <c r="H36" s="103" t="e">
        <f>IF(VLOOKUP($A36,Stunden!$D:$V,17,FALSE)=0,"",VLOOKUP($A36,Stunden!$D:$V,17,FALSE))</f>
        <v>#N/A</v>
      </c>
      <c r="J36" s="104"/>
    </row>
    <row r="37" spans="1:10" s="105" customFormat="1" ht="20.100000000000001" customHeight="1" x14ac:dyDescent="0.25">
      <c r="A37" s="106">
        <f t="shared" si="1"/>
        <v>46347</v>
      </c>
      <c r="B37" s="103" t="e">
        <f>VLOOKUP($A37,Stunden!$D:$V,2,FALSE)</f>
        <v>#N/A</v>
      </c>
      <c r="C37" s="103" t="e">
        <f>VLOOKUP($A37,Stunden!$D:$V,3,FALSE)</f>
        <v>#N/A</v>
      </c>
      <c r="D37" s="103" t="e">
        <f>VLOOKUP($A37,Stunden!$D:$V,4,FALSE)</f>
        <v>#N/A</v>
      </c>
      <c r="E37" s="103">
        <v>0.5</v>
      </c>
      <c r="F37" s="103" t="e">
        <f t="shared" si="0"/>
        <v>#N/A</v>
      </c>
      <c r="G37" s="103"/>
      <c r="H37" s="103" t="e">
        <f>IF(VLOOKUP($A37,Stunden!$D:$V,17,FALSE)=0,"",VLOOKUP($A37,Stunden!$D:$V,17,FALSE))</f>
        <v>#N/A</v>
      </c>
      <c r="J37" s="104"/>
    </row>
    <row r="38" spans="1:10" s="105" customFormat="1" ht="20.100000000000001" customHeight="1" x14ac:dyDescent="0.25">
      <c r="A38" s="106">
        <f t="shared" si="1"/>
        <v>46348</v>
      </c>
      <c r="B38" s="103" t="e">
        <f>VLOOKUP($A38,Stunden!$D:$V,2,FALSE)</f>
        <v>#N/A</v>
      </c>
      <c r="C38" s="103" t="e">
        <f>VLOOKUP($A38,Stunden!$D:$V,3,FALSE)</f>
        <v>#N/A</v>
      </c>
      <c r="D38" s="103" t="e">
        <f>VLOOKUP($A38,Stunden!$D:$V,4,FALSE)</f>
        <v>#N/A</v>
      </c>
      <c r="E38" s="103">
        <v>0.5</v>
      </c>
      <c r="F38" s="103" t="e">
        <f t="shared" si="0"/>
        <v>#N/A</v>
      </c>
      <c r="G38" s="103"/>
      <c r="H38" s="103" t="e">
        <f>IF(VLOOKUP($A38,Stunden!$D:$V,17,FALSE)=0,"",VLOOKUP($A38,Stunden!$D:$V,17,FALSE))</f>
        <v>#N/A</v>
      </c>
      <c r="J38" s="104"/>
    </row>
    <row r="39" spans="1:10" s="105" customFormat="1" ht="20.100000000000001" customHeight="1" x14ac:dyDescent="0.25">
      <c r="A39" s="106">
        <f t="shared" si="1"/>
        <v>46349</v>
      </c>
      <c r="B39" s="103" t="e">
        <f>VLOOKUP($A39,Stunden!$D:$V,2,FALSE)</f>
        <v>#N/A</v>
      </c>
      <c r="C39" s="103" t="e">
        <f>VLOOKUP($A39,Stunden!$D:$V,3,FALSE)</f>
        <v>#N/A</v>
      </c>
      <c r="D39" s="103" t="e">
        <f>VLOOKUP($A39,Stunden!$D:$V,4,FALSE)</f>
        <v>#N/A</v>
      </c>
      <c r="E39" s="103">
        <v>0.5</v>
      </c>
      <c r="F39" s="103" t="e">
        <f t="shared" si="0"/>
        <v>#N/A</v>
      </c>
      <c r="G39" s="103"/>
      <c r="H39" s="103" t="e">
        <f>IF(VLOOKUP($A39,Stunden!$D:$V,17,FALSE)=0,"",VLOOKUP($A39,Stunden!$D:$V,17,FALSE))</f>
        <v>#N/A</v>
      </c>
      <c r="J39" s="104"/>
    </row>
    <row r="40" spans="1:10" s="105" customFormat="1" ht="20.100000000000001" customHeight="1" x14ac:dyDescent="0.25">
      <c r="A40" s="106">
        <f t="shared" si="1"/>
        <v>46350</v>
      </c>
      <c r="B40" s="103" t="e">
        <f>VLOOKUP($A40,Stunden!$D:$V,2,FALSE)</f>
        <v>#N/A</v>
      </c>
      <c r="C40" s="103" t="e">
        <f>VLOOKUP($A40,Stunden!$D:$V,3,FALSE)</f>
        <v>#N/A</v>
      </c>
      <c r="D40" s="103" t="e">
        <f>VLOOKUP($A40,Stunden!$D:$V,4,FALSE)</f>
        <v>#N/A</v>
      </c>
      <c r="E40" s="103">
        <v>0.5</v>
      </c>
      <c r="F40" s="103" t="e">
        <f t="shared" si="0"/>
        <v>#N/A</v>
      </c>
      <c r="G40" s="103"/>
      <c r="H40" s="103" t="e">
        <f>IF(VLOOKUP($A40,Stunden!$D:$V,17,FALSE)=0,"",VLOOKUP($A40,Stunden!$D:$V,17,FALSE))</f>
        <v>#N/A</v>
      </c>
      <c r="J40" s="104"/>
    </row>
    <row r="41" spans="1:10" s="105" customFormat="1" ht="20.100000000000001" customHeight="1" x14ac:dyDescent="0.25">
      <c r="A41" s="106">
        <f t="shared" si="1"/>
        <v>46351</v>
      </c>
      <c r="B41" s="103" t="e">
        <f>VLOOKUP($A41,Stunden!$D:$V,2,FALSE)</f>
        <v>#N/A</v>
      </c>
      <c r="C41" s="103" t="e">
        <f>VLOOKUP($A41,Stunden!$D:$V,3,FALSE)</f>
        <v>#N/A</v>
      </c>
      <c r="D41" s="103" t="e">
        <f>VLOOKUP($A41,Stunden!$D:$V,4,FALSE)</f>
        <v>#N/A</v>
      </c>
      <c r="E41" s="103">
        <v>0.5</v>
      </c>
      <c r="F41" s="103" t="e">
        <f t="shared" si="0"/>
        <v>#N/A</v>
      </c>
      <c r="G41" s="103"/>
      <c r="H41" s="103" t="e">
        <f>IF(VLOOKUP($A41,Stunden!$D:$V,17,FALSE)=0,"",VLOOKUP($A41,Stunden!$D:$V,17,FALSE))</f>
        <v>#N/A</v>
      </c>
      <c r="J41" s="104"/>
    </row>
    <row r="42" spans="1:10" s="105" customFormat="1" ht="20.100000000000001" customHeight="1" x14ac:dyDescent="0.25">
      <c r="A42" s="106">
        <f t="shared" si="1"/>
        <v>46352</v>
      </c>
      <c r="B42" s="103" t="e">
        <f>VLOOKUP($A42,Stunden!$D:$V,2,FALSE)</f>
        <v>#N/A</v>
      </c>
      <c r="C42" s="103" t="e">
        <f>VLOOKUP($A42,Stunden!$D:$V,3,FALSE)</f>
        <v>#N/A</v>
      </c>
      <c r="D42" s="103" t="e">
        <f>VLOOKUP($A42,Stunden!$D:$V,4,FALSE)</f>
        <v>#N/A</v>
      </c>
      <c r="E42" s="103">
        <v>0.5</v>
      </c>
      <c r="F42" s="103" t="e">
        <f t="shared" si="0"/>
        <v>#N/A</v>
      </c>
      <c r="G42" s="103"/>
      <c r="H42" s="103" t="e">
        <f>IF(VLOOKUP($A42,Stunden!$D:$V,17,FALSE)=0,"",VLOOKUP($A42,Stunden!$D:$V,17,FALSE))</f>
        <v>#N/A</v>
      </c>
      <c r="J42" s="104"/>
    </row>
    <row r="43" spans="1:10" s="105" customFormat="1" ht="20.100000000000001" customHeight="1" x14ac:dyDescent="0.25">
      <c r="A43" s="106">
        <f t="shared" si="1"/>
        <v>46353</v>
      </c>
      <c r="B43" s="103" t="e">
        <f>VLOOKUP($A43,Stunden!$D:$V,2,FALSE)</f>
        <v>#N/A</v>
      </c>
      <c r="C43" s="103" t="e">
        <f>VLOOKUP($A43,Stunden!$D:$V,3,FALSE)</f>
        <v>#N/A</v>
      </c>
      <c r="D43" s="103" t="e">
        <f>VLOOKUP($A43,Stunden!$D:$V,4,FALSE)</f>
        <v>#N/A</v>
      </c>
      <c r="E43" s="103">
        <v>0.5</v>
      </c>
      <c r="F43" s="103" t="e">
        <f t="shared" si="0"/>
        <v>#N/A</v>
      </c>
      <c r="G43" s="103"/>
      <c r="H43" s="103" t="e">
        <f>IF(VLOOKUP($A43,Stunden!$D:$V,17,FALSE)=0,"",VLOOKUP($A43,Stunden!$D:$V,17,FALSE))</f>
        <v>#N/A</v>
      </c>
      <c r="J43" s="104"/>
    </row>
    <row r="44" spans="1:10" s="105" customFormat="1" ht="20.100000000000001" customHeight="1" x14ac:dyDescent="0.25">
      <c r="A44" s="106">
        <f t="shared" si="1"/>
        <v>46354</v>
      </c>
      <c r="B44" s="103" t="e">
        <f>VLOOKUP($A44,Stunden!$D:$V,2,FALSE)</f>
        <v>#N/A</v>
      </c>
      <c r="C44" s="103" t="e">
        <f>VLOOKUP($A44,Stunden!$D:$V,3,FALSE)</f>
        <v>#N/A</v>
      </c>
      <c r="D44" s="103" t="e">
        <f>VLOOKUP($A44,Stunden!$D:$V,4,FALSE)</f>
        <v>#N/A</v>
      </c>
      <c r="E44" s="103">
        <v>0.5</v>
      </c>
      <c r="F44" s="103" t="e">
        <f t="shared" si="0"/>
        <v>#N/A</v>
      </c>
      <c r="G44" s="103"/>
      <c r="H44" s="103" t="e">
        <f>IF(VLOOKUP($A44,Stunden!$D:$V,17,FALSE)=0,"",VLOOKUP($A44,Stunden!$D:$V,17,FALSE))</f>
        <v>#N/A</v>
      </c>
      <c r="J44" s="104"/>
    </row>
    <row r="45" spans="1:10" s="105" customFormat="1" ht="20.100000000000001" customHeight="1" x14ac:dyDescent="0.25">
      <c r="A45" s="106">
        <f t="shared" si="1"/>
        <v>46355</v>
      </c>
      <c r="B45" s="103" t="e">
        <f>VLOOKUP($A45,Stunden!$D:$V,2,FALSE)</f>
        <v>#N/A</v>
      </c>
      <c r="C45" s="103" t="e">
        <f>VLOOKUP($A45,Stunden!$D:$V,3,FALSE)</f>
        <v>#N/A</v>
      </c>
      <c r="D45" s="103" t="e">
        <f>VLOOKUP($A45,Stunden!$D:$V,4,FALSE)</f>
        <v>#N/A</v>
      </c>
      <c r="E45" s="103">
        <v>0.5</v>
      </c>
      <c r="F45" s="103" t="e">
        <f t="shared" si="0"/>
        <v>#N/A</v>
      </c>
      <c r="G45" s="103"/>
      <c r="H45" s="103" t="e">
        <f>IF(VLOOKUP($A45,Stunden!$D:$V,17,FALSE)=0,"",VLOOKUP($A45,Stunden!$D:$V,17,FALSE))</f>
        <v>#N/A</v>
      </c>
      <c r="J45" s="104"/>
    </row>
    <row r="46" spans="1:10" s="105" customFormat="1" ht="20.100000000000001" customHeight="1" x14ac:dyDescent="0.25">
      <c r="A46" s="106">
        <f t="shared" si="1"/>
        <v>46356</v>
      </c>
      <c r="B46" s="103" t="e">
        <f>VLOOKUP($A46,Stunden!$D:$V,2,FALSE)</f>
        <v>#N/A</v>
      </c>
      <c r="C46" s="103" t="e">
        <f>VLOOKUP($A46,Stunden!$D:$V,3,FALSE)</f>
        <v>#N/A</v>
      </c>
      <c r="D46" s="103" t="e">
        <f>VLOOKUP($A46,Stunden!$D:$V,4,FALSE)</f>
        <v>#N/A</v>
      </c>
      <c r="E46" s="103">
        <v>0.5</v>
      </c>
      <c r="F46" s="103" t="e">
        <f t="shared" si="0"/>
        <v>#N/A</v>
      </c>
      <c r="G46" s="103"/>
      <c r="H46" s="103" t="e">
        <f>IF(VLOOKUP($A46,Stunden!$D:$V,17,FALSE)=0,"",VLOOKUP($A46,Stunden!$D:$V,17,FALSE))</f>
        <v>#N/A</v>
      </c>
      <c r="J46" s="104"/>
    </row>
    <row r="47" spans="1:10" s="105" customFormat="1" ht="20.100000000000001" customHeight="1" x14ac:dyDescent="0.25">
      <c r="A47" s="106">
        <f t="shared" si="1"/>
        <v>46357</v>
      </c>
      <c r="B47" s="103" t="e">
        <f>VLOOKUP($A47,Stunden!$D:$V,2,FALSE)</f>
        <v>#N/A</v>
      </c>
      <c r="C47" s="103" t="e">
        <f>VLOOKUP($A47,Stunden!$D:$V,3,FALSE)</f>
        <v>#N/A</v>
      </c>
      <c r="D47" s="103" t="e">
        <f>VLOOKUP($A47,Stunden!$D:$V,4,FALSE)</f>
        <v>#N/A</v>
      </c>
      <c r="E47" s="103">
        <v>0.5</v>
      </c>
      <c r="F47" s="103" t="e">
        <f t="shared" si="0"/>
        <v>#N/A</v>
      </c>
      <c r="G47" s="103"/>
      <c r="H47" s="103" t="e">
        <f>IF(VLOOKUP($A47,Stunden!$D:$V,17,FALSE)=0,"",VLOOKUP($A47,Stunden!$D:$V,17,FALSE))</f>
        <v>#N/A</v>
      </c>
      <c r="J47" s="104"/>
    </row>
    <row r="49" spans="10:10" x14ac:dyDescent="0.2">
      <c r="J49" s="119"/>
    </row>
  </sheetData>
  <mergeCells count="2">
    <mergeCell ref="C6:G6"/>
    <mergeCell ref="C11:G11"/>
  </mergeCells>
  <pageMargins left="0.70866141732283472" right="0.31496062992125984" top="0.39370078740157483" bottom="0.39370078740157483" header="0.31496062992125984" footer="0.31496062992125984"/>
  <pageSetup paperSize="9" orientation="portrait" r:id="rId1"/>
  <headerFooter>
    <oddFooter>&amp;C_x000D_&amp;1#&amp;"Arial"&amp;8&amp;K869197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2</xdr:col>
                    <xdr:colOff>447675</xdr:colOff>
                    <xdr:row>6</xdr:row>
                    <xdr:rowOff>142875</xdr:rowOff>
                  </from>
                  <to>
                    <xdr:col>2</xdr:col>
                    <xdr:colOff>752475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476250</xdr:colOff>
                    <xdr:row>6</xdr:row>
                    <xdr:rowOff>38100</xdr:rowOff>
                  </from>
                  <to>
                    <xdr:col>5</xdr:col>
                    <xdr:colOff>142875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752475</xdr:colOff>
                    <xdr:row>7</xdr:row>
                    <xdr:rowOff>152400</xdr:rowOff>
                  </from>
                  <to>
                    <xdr:col>5</xdr:col>
                    <xdr:colOff>419100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3</xdr:col>
                    <xdr:colOff>47625</xdr:colOff>
                    <xdr:row>7</xdr:row>
                    <xdr:rowOff>152400</xdr:rowOff>
                  </from>
                  <to>
                    <xdr:col>3</xdr:col>
                    <xdr:colOff>485775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3</xdr:col>
                    <xdr:colOff>438150</xdr:colOff>
                    <xdr:row>6</xdr:row>
                    <xdr:rowOff>47625</xdr:rowOff>
                  </from>
                  <to>
                    <xdr:col>4</xdr:col>
                    <xdr:colOff>104775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2A00-1930-418E-B4B5-98A09BF22013}">
  <sheetPr codeName="Sheet20">
    <pageSetUpPr fitToPage="1"/>
  </sheetPr>
  <dimension ref="A6:J49"/>
  <sheetViews>
    <sheetView zoomScale="85" zoomScaleNormal="85" workbookViewId="0">
      <selection activeCell="C7" sqref="C7"/>
    </sheetView>
  </sheetViews>
  <sheetFormatPr defaultColWidth="11.42578125" defaultRowHeight="14.25" x14ac:dyDescent="0.2"/>
  <cols>
    <col min="1" max="1" width="12.85546875" style="98" customWidth="1"/>
    <col min="2" max="7" width="11.42578125" style="98"/>
    <col min="8" max="8" width="53.42578125" style="98" customWidth="1"/>
    <col min="9" max="16384" width="11.42578125" style="98"/>
  </cols>
  <sheetData>
    <row r="6" spans="1:8" ht="15" x14ac:dyDescent="0.25">
      <c r="A6" s="97" t="s">
        <v>172</v>
      </c>
      <c r="C6" s="228" t="str">
        <f>'pers. Daten'!O6</f>
        <v>Burke, André</v>
      </c>
      <c r="D6" s="228"/>
      <c r="E6" s="228"/>
      <c r="F6" s="228"/>
      <c r="G6" s="228"/>
    </row>
    <row r="7" spans="1:8" x14ac:dyDescent="0.2">
      <c r="C7" s="100"/>
    </row>
    <row r="8" spans="1:8" ht="15" x14ac:dyDescent="0.25">
      <c r="A8" s="97" t="s">
        <v>173</v>
      </c>
      <c r="C8" s="100" t="s">
        <v>174</v>
      </c>
      <c r="D8" s="98" t="s">
        <v>175</v>
      </c>
      <c r="E8" s="98" t="s">
        <v>176</v>
      </c>
      <c r="F8" s="98" t="s">
        <v>177</v>
      </c>
    </row>
    <row r="9" spans="1:8" ht="23.25" customHeight="1" x14ac:dyDescent="0.2">
      <c r="C9" s="100" t="s">
        <v>178</v>
      </c>
      <c r="E9" s="98" t="s">
        <v>179</v>
      </c>
    </row>
    <row r="10" spans="1:8" x14ac:dyDescent="0.2">
      <c r="C10" s="100"/>
    </row>
    <row r="11" spans="1:8" ht="15" x14ac:dyDescent="0.25">
      <c r="A11" s="97" t="s">
        <v>31</v>
      </c>
      <c r="C11" s="228" t="str">
        <f>'pers. Daten'!O1</f>
        <v>??</v>
      </c>
      <c r="D11" s="228"/>
      <c r="E11" s="228"/>
      <c r="F11" s="228"/>
      <c r="G11" s="228"/>
    </row>
    <row r="12" spans="1:8" x14ac:dyDescent="0.2">
      <c r="C12" s="100"/>
      <c r="H12" s="107"/>
    </row>
    <row r="13" spans="1:8" ht="15" x14ac:dyDescent="0.25">
      <c r="A13" s="97" t="s">
        <v>180</v>
      </c>
      <c r="C13" s="99">
        <f>MONTH(A17)</f>
        <v>12</v>
      </c>
      <c r="D13" s="108" t="str">
        <f>TEXT(DATE(1,C13,1),"MMMM")</f>
        <v>Dezember</v>
      </c>
      <c r="E13" s="108"/>
      <c r="F13" s="108"/>
      <c r="G13" s="108"/>
    </row>
    <row r="16" spans="1:8" s="101" customFormat="1" ht="33" customHeight="1" x14ac:dyDescent="0.25">
      <c r="B16" s="102" t="s">
        <v>181</v>
      </c>
      <c r="C16" s="102" t="s">
        <v>182</v>
      </c>
      <c r="D16" s="102" t="s">
        <v>185</v>
      </c>
      <c r="E16" s="102" t="s">
        <v>186</v>
      </c>
      <c r="F16" s="102" t="s">
        <v>183</v>
      </c>
      <c r="G16" s="102"/>
      <c r="H16" s="102" t="s">
        <v>184</v>
      </c>
    </row>
    <row r="17" spans="1:10" s="105" customFormat="1" ht="20.100000000000001" customHeight="1" x14ac:dyDescent="0.25">
      <c r="A17" s="106">
        <v>46357</v>
      </c>
      <c r="B17" s="103" t="e">
        <f>VLOOKUP($A17,Stunden!$D:$V,2,FALSE)</f>
        <v>#N/A</v>
      </c>
      <c r="C17" s="103" t="e">
        <f>VLOOKUP($A17,Stunden!$D:$V,3,FALSE)</f>
        <v>#N/A</v>
      </c>
      <c r="D17" s="103" t="e">
        <f>VLOOKUP($A17,Stunden!$D:$V,4,FALSE)</f>
        <v>#N/A</v>
      </c>
      <c r="E17" s="103">
        <v>0.5</v>
      </c>
      <c r="F17" s="103" t="e">
        <f>E17+D17</f>
        <v>#N/A</v>
      </c>
      <c r="G17" s="103"/>
      <c r="H17" s="103" t="e">
        <f>IF(VLOOKUP($A17,Stunden!$D:$V,17,FALSE)=0,"",VLOOKUP($A17,Stunden!$D:$V,17,FALSE))</f>
        <v>#N/A</v>
      </c>
      <c r="I17" s="104"/>
      <c r="J17" s="104"/>
    </row>
    <row r="18" spans="1:10" s="105" customFormat="1" ht="20.100000000000001" customHeight="1" x14ac:dyDescent="0.25">
      <c r="A18" s="106">
        <f>A17+1</f>
        <v>46358</v>
      </c>
      <c r="B18" s="103" t="e">
        <f>VLOOKUP($A18,Stunden!$D:$V,2,FALSE)</f>
        <v>#N/A</v>
      </c>
      <c r="C18" s="103" t="e">
        <f>VLOOKUP($A18,Stunden!$D:$V,3,FALSE)</f>
        <v>#N/A</v>
      </c>
      <c r="D18" s="103" t="e">
        <f>VLOOKUP($A18,Stunden!$D:$V,4,FALSE)</f>
        <v>#N/A</v>
      </c>
      <c r="E18" s="103">
        <v>0.5</v>
      </c>
      <c r="F18" s="103" t="e">
        <f t="shared" ref="F18:F47" si="0">E18+D18</f>
        <v>#N/A</v>
      </c>
      <c r="G18" s="103"/>
      <c r="H18" s="103" t="e">
        <f>IF(VLOOKUP($A18,Stunden!$D:$V,17,FALSE)=0,"",VLOOKUP($A18,Stunden!$D:$V,17,FALSE))</f>
        <v>#N/A</v>
      </c>
      <c r="I18" s="104"/>
      <c r="J18" s="104"/>
    </row>
    <row r="19" spans="1:10" s="105" customFormat="1" ht="20.100000000000001" customHeight="1" x14ac:dyDescent="0.25">
      <c r="A19" s="106">
        <f t="shared" ref="A19:A47" si="1">A18+1</f>
        <v>46359</v>
      </c>
      <c r="B19" s="103" t="e">
        <f>VLOOKUP($A19,Stunden!$D:$V,2,FALSE)</f>
        <v>#N/A</v>
      </c>
      <c r="C19" s="103" t="e">
        <f>VLOOKUP($A19,Stunden!$D:$V,3,FALSE)</f>
        <v>#N/A</v>
      </c>
      <c r="D19" s="103" t="e">
        <f>VLOOKUP($A19,Stunden!$D:$V,4,FALSE)</f>
        <v>#N/A</v>
      </c>
      <c r="E19" s="103">
        <v>0.5</v>
      </c>
      <c r="F19" s="103" t="e">
        <f t="shared" si="0"/>
        <v>#N/A</v>
      </c>
      <c r="G19" s="103"/>
      <c r="H19" s="103" t="e">
        <f>IF(VLOOKUP($A19,Stunden!$D:$V,17,FALSE)=0,"",VLOOKUP($A19,Stunden!$D:$V,17,FALSE))</f>
        <v>#N/A</v>
      </c>
      <c r="I19" s="104"/>
      <c r="J19" s="104"/>
    </row>
    <row r="20" spans="1:10" s="105" customFormat="1" ht="20.100000000000001" customHeight="1" x14ac:dyDescent="0.25">
      <c r="A20" s="106">
        <f t="shared" si="1"/>
        <v>46360</v>
      </c>
      <c r="B20" s="103" t="e">
        <f>VLOOKUP($A20,Stunden!$D:$V,2,FALSE)</f>
        <v>#N/A</v>
      </c>
      <c r="C20" s="103" t="e">
        <f>VLOOKUP($A20,Stunden!$D:$V,3,FALSE)</f>
        <v>#N/A</v>
      </c>
      <c r="D20" s="103" t="e">
        <f>VLOOKUP($A20,Stunden!$D:$V,4,FALSE)</f>
        <v>#N/A</v>
      </c>
      <c r="E20" s="103">
        <v>0.5</v>
      </c>
      <c r="F20" s="103" t="e">
        <f t="shared" si="0"/>
        <v>#N/A</v>
      </c>
      <c r="G20" s="103"/>
      <c r="H20" s="103" t="e">
        <f>IF(VLOOKUP($A20,Stunden!$D:$V,17,FALSE)=0,"",VLOOKUP($A20,Stunden!$D:$V,17,FALSE))</f>
        <v>#N/A</v>
      </c>
      <c r="I20" s="104"/>
      <c r="J20" s="104"/>
    </row>
    <row r="21" spans="1:10" s="105" customFormat="1" ht="20.100000000000001" customHeight="1" x14ac:dyDescent="0.25">
      <c r="A21" s="106">
        <f t="shared" si="1"/>
        <v>46361</v>
      </c>
      <c r="B21" s="103" t="e">
        <f>VLOOKUP($A21,Stunden!$D:$V,2,FALSE)</f>
        <v>#N/A</v>
      </c>
      <c r="C21" s="103" t="e">
        <f>VLOOKUP($A21,Stunden!$D:$V,3,FALSE)</f>
        <v>#N/A</v>
      </c>
      <c r="D21" s="103" t="e">
        <f>VLOOKUP($A21,Stunden!$D:$V,4,FALSE)</f>
        <v>#N/A</v>
      </c>
      <c r="E21" s="103">
        <v>0.5</v>
      </c>
      <c r="F21" s="103" t="e">
        <f t="shared" si="0"/>
        <v>#N/A</v>
      </c>
      <c r="G21" s="103"/>
      <c r="H21" s="103" t="e">
        <f>IF(VLOOKUP($A21,Stunden!$D:$V,17,FALSE)=0,"",VLOOKUP($A21,Stunden!$D:$V,17,FALSE))</f>
        <v>#N/A</v>
      </c>
      <c r="I21" s="104"/>
      <c r="J21" s="104"/>
    </row>
    <row r="22" spans="1:10" s="105" customFormat="1" ht="20.100000000000001" customHeight="1" x14ac:dyDescent="0.25">
      <c r="A22" s="106">
        <f t="shared" si="1"/>
        <v>46362</v>
      </c>
      <c r="B22" s="103" t="e">
        <f>VLOOKUP($A22,Stunden!$D:$V,2,FALSE)</f>
        <v>#N/A</v>
      </c>
      <c r="C22" s="103" t="e">
        <f>VLOOKUP($A22,Stunden!$D:$V,3,FALSE)</f>
        <v>#N/A</v>
      </c>
      <c r="D22" s="103" t="e">
        <f>VLOOKUP($A22,Stunden!$D:$V,4,FALSE)</f>
        <v>#N/A</v>
      </c>
      <c r="E22" s="103">
        <v>0.5</v>
      </c>
      <c r="F22" s="103" t="e">
        <f t="shared" si="0"/>
        <v>#N/A</v>
      </c>
      <c r="G22" s="103"/>
      <c r="H22" s="103" t="e">
        <f>IF(VLOOKUP($A22,Stunden!$D:$V,17,FALSE)=0,"",VLOOKUP($A22,Stunden!$D:$V,17,FALSE))</f>
        <v>#N/A</v>
      </c>
      <c r="J22" s="104"/>
    </row>
    <row r="23" spans="1:10" s="105" customFormat="1" ht="20.100000000000001" customHeight="1" x14ac:dyDescent="0.25">
      <c r="A23" s="106">
        <f t="shared" si="1"/>
        <v>46363</v>
      </c>
      <c r="B23" s="103" t="e">
        <f>VLOOKUP($A23,Stunden!$D:$V,2,FALSE)</f>
        <v>#N/A</v>
      </c>
      <c r="C23" s="103" t="e">
        <f>VLOOKUP($A23,Stunden!$D:$V,3,FALSE)</f>
        <v>#N/A</v>
      </c>
      <c r="D23" s="103" t="e">
        <f>VLOOKUP($A23,Stunden!$D:$V,4,FALSE)</f>
        <v>#N/A</v>
      </c>
      <c r="E23" s="103">
        <v>0.5</v>
      </c>
      <c r="F23" s="103" t="e">
        <f t="shared" si="0"/>
        <v>#N/A</v>
      </c>
      <c r="G23" s="103"/>
      <c r="H23" s="103" t="e">
        <f>IF(VLOOKUP($A23,Stunden!$D:$V,17,FALSE)=0,"",VLOOKUP($A23,Stunden!$D:$V,17,FALSE))</f>
        <v>#N/A</v>
      </c>
      <c r="J23" s="104"/>
    </row>
    <row r="24" spans="1:10" s="105" customFormat="1" ht="20.100000000000001" customHeight="1" x14ac:dyDescent="0.25">
      <c r="A24" s="106">
        <f t="shared" si="1"/>
        <v>46364</v>
      </c>
      <c r="B24" s="103" t="e">
        <f>VLOOKUP($A24,Stunden!$D:$V,2,FALSE)</f>
        <v>#N/A</v>
      </c>
      <c r="C24" s="103" t="e">
        <f>VLOOKUP($A24,Stunden!$D:$V,3,FALSE)</f>
        <v>#N/A</v>
      </c>
      <c r="D24" s="103" t="e">
        <f>VLOOKUP($A24,Stunden!$D:$V,4,FALSE)</f>
        <v>#N/A</v>
      </c>
      <c r="E24" s="103">
        <v>0.5</v>
      </c>
      <c r="F24" s="103" t="e">
        <f t="shared" si="0"/>
        <v>#N/A</v>
      </c>
      <c r="G24" s="103"/>
      <c r="H24" s="103" t="e">
        <f>IF(VLOOKUP($A24,Stunden!$D:$V,17,FALSE)=0,"",VLOOKUP($A24,Stunden!$D:$V,17,FALSE))</f>
        <v>#N/A</v>
      </c>
      <c r="J24" s="104"/>
    </row>
    <row r="25" spans="1:10" s="105" customFormat="1" ht="20.100000000000001" customHeight="1" x14ac:dyDescent="0.25">
      <c r="A25" s="106">
        <f t="shared" si="1"/>
        <v>46365</v>
      </c>
      <c r="B25" s="103" t="e">
        <f>VLOOKUP($A25,Stunden!$D:$V,2,FALSE)</f>
        <v>#N/A</v>
      </c>
      <c r="C25" s="103" t="e">
        <f>VLOOKUP($A25,Stunden!$D:$V,3,FALSE)</f>
        <v>#N/A</v>
      </c>
      <c r="D25" s="103" t="e">
        <f>VLOOKUP($A25,Stunden!$D:$V,4,FALSE)</f>
        <v>#N/A</v>
      </c>
      <c r="E25" s="103">
        <v>0.5</v>
      </c>
      <c r="F25" s="103" t="e">
        <f t="shared" si="0"/>
        <v>#N/A</v>
      </c>
      <c r="G25" s="103"/>
      <c r="H25" s="103" t="e">
        <f>IF(VLOOKUP($A25,Stunden!$D:$V,17,FALSE)=0,"",VLOOKUP($A25,Stunden!$D:$V,17,FALSE))</f>
        <v>#N/A</v>
      </c>
      <c r="J25" s="104"/>
    </row>
    <row r="26" spans="1:10" s="105" customFormat="1" ht="20.100000000000001" customHeight="1" x14ac:dyDescent="0.25">
      <c r="A26" s="106">
        <f t="shared" si="1"/>
        <v>46366</v>
      </c>
      <c r="B26" s="103" t="e">
        <f>VLOOKUP($A26,Stunden!$D:$V,2,FALSE)</f>
        <v>#N/A</v>
      </c>
      <c r="C26" s="103" t="e">
        <f>VLOOKUP($A26,Stunden!$D:$V,3,FALSE)</f>
        <v>#N/A</v>
      </c>
      <c r="D26" s="103" t="e">
        <f>VLOOKUP($A26,Stunden!$D:$V,4,FALSE)</f>
        <v>#N/A</v>
      </c>
      <c r="E26" s="103">
        <v>0.5</v>
      </c>
      <c r="F26" s="103" t="e">
        <f t="shared" si="0"/>
        <v>#N/A</v>
      </c>
      <c r="G26" s="103"/>
      <c r="H26" s="103" t="e">
        <f>IF(VLOOKUP($A26,Stunden!$D:$V,17,FALSE)=0,"",VLOOKUP($A26,Stunden!$D:$V,17,FALSE))</f>
        <v>#N/A</v>
      </c>
      <c r="J26" s="104"/>
    </row>
    <row r="27" spans="1:10" s="105" customFormat="1" ht="20.100000000000001" customHeight="1" x14ac:dyDescent="0.25">
      <c r="A27" s="106">
        <f t="shared" si="1"/>
        <v>46367</v>
      </c>
      <c r="B27" s="103" t="e">
        <f>VLOOKUP($A27,Stunden!$D:$V,2,FALSE)</f>
        <v>#N/A</v>
      </c>
      <c r="C27" s="103" t="e">
        <f>VLOOKUP($A27,Stunden!$D:$V,3,FALSE)</f>
        <v>#N/A</v>
      </c>
      <c r="D27" s="103" t="e">
        <f>VLOOKUP($A27,Stunden!$D:$V,4,FALSE)</f>
        <v>#N/A</v>
      </c>
      <c r="E27" s="103">
        <v>0.5</v>
      </c>
      <c r="F27" s="103" t="e">
        <f t="shared" si="0"/>
        <v>#N/A</v>
      </c>
      <c r="G27" s="103"/>
      <c r="H27" s="103" t="e">
        <f>IF(VLOOKUP($A27,Stunden!$D:$V,17,FALSE)=0,"",VLOOKUP($A27,Stunden!$D:$V,17,FALSE))</f>
        <v>#N/A</v>
      </c>
      <c r="J27" s="104"/>
    </row>
    <row r="28" spans="1:10" s="105" customFormat="1" ht="20.100000000000001" customHeight="1" x14ac:dyDescent="0.25">
      <c r="A28" s="106">
        <f t="shared" si="1"/>
        <v>46368</v>
      </c>
      <c r="B28" s="103" t="e">
        <f>VLOOKUP($A28,Stunden!$D:$V,2,FALSE)</f>
        <v>#N/A</v>
      </c>
      <c r="C28" s="103" t="e">
        <f>VLOOKUP($A28,Stunden!$D:$V,3,FALSE)</f>
        <v>#N/A</v>
      </c>
      <c r="D28" s="103" t="e">
        <f>VLOOKUP($A28,Stunden!$D:$V,4,FALSE)</f>
        <v>#N/A</v>
      </c>
      <c r="E28" s="103">
        <v>0.5</v>
      </c>
      <c r="F28" s="103" t="e">
        <f t="shared" si="0"/>
        <v>#N/A</v>
      </c>
      <c r="G28" s="103"/>
      <c r="H28" s="103" t="e">
        <f>IF(VLOOKUP($A28,Stunden!$D:$V,17,FALSE)=0,"",VLOOKUP($A28,Stunden!$D:$V,17,FALSE))</f>
        <v>#N/A</v>
      </c>
      <c r="J28" s="104"/>
    </row>
    <row r="29" spans="1:10" s="105" customFormat="1" ht="20.100000000000001" customHeight="1" x14ac:dyDescent="0.25">
      <c r="A29" s="106">
        <f t="shared" si="1"/>
        <v>46369</v>
      </c>
      <c r="B29" s="103" t="e">
        <f>VLOOKUP($A29,Stunden!$D:$V,2,FALSE)</f>
        <v>#N/A</v>
      </c>
      <c r="C29" s="103" t="e">
        <f>VLOOKUP($A29,Stunden!$D:$V,3,FALSE)</f>
        <v>#N/A</v>
      </c>
      <c r="D29" s="103" t="e">
        <f>VLOOKUP($A29,Stunden!$D:$V,4,FALSE)</f>
        <v>#N/A</v>
      </c>
      <c r="E29" s="103">
        <v>0.5</v>
      </c>
      <c r="F29" s="103" t="e">
        <f t="shared" si="0"/>
        <v>#N/A</v>
      </c>
      <c r="G29" s="103"/>
      <c r="H29" s="103" t="e">
        <f>IF(VLOOKUP($A29,Stunden!$D:$V,17,FALSE)=0,"",VLOOKUP($A29,Stunden!$D:$V,17,FALSE))</f>
        <v>#N/A</v>
      </c>
      <c r="J29" s="104"/>
    </row>
    <row r="30" spans="1:10" s="105" customFormat="1" ht="20.100000000000001" customHeight="1" x14ac:dyDescent="0.25">
      <c r="A30" s="106">
        <f t="shared" si="1"/>
        <v>46370</v>
      </c>
      <c r="B30" s="103" t="e">
        <f>VLOOKUP($A30,Stunden!$D:$V,2,FALSE)</f>
        <v>#N/A</v>
      </c>
      <c r="C30" s="103" t="e">
        <f>VLOOKUP($A30,Stunden!$D:$V,3,FALSE)</f>
        <v>#N/A</v>
      </c>
      <c r="D30" s="103" t="e">
        <f>VLOOKUP($A30,Stunden!$D:$V,4,FALSE)</f>
        <v>#N/A</v>
      </c>
      <c r="E30" s="103">
        <v>0.5</v>
      </c>
      <c r="F30" s="103" t="e">
        <f t="shared" si="0"/>
        <v>#N/A</v>
      </c>
      <c r="G30" s="103"/>
      <c r="H30" s="103" t="e">
        <f>IF(VLOOKUP($A30,Stunden!$D:$V,17,FALSE)=0,"",VLOOKUP($A30,Stunden!$D:$V,17,FALSE))</f>
        <v>#N/A</v>
      </c>
      <c r="J30" s="104"/>
    </row>
    <row r="31" spans="1:10" s="105" customFormat="1" ht="20.100000000000001" customHeight="1" x14ac:dyDescent="0.25">
      <c r="A31" s="106">
        <f t="shared" si="1"/>
        <v>46371</v>
      </c>
      <c r="B31" s="103" t="e">
        <f>VLOOKUP($A31,Stunden!$D:$V,2,FALSE)</f>
        <v>#N/A</v>
      </c>
      <c r="C31" s="103" t="e">
        <f>VLOOKUP($A31,Stunden!$D:$V,3,FALSE)</f>
        <v>#N/A</v>
      </c>
      <c r="D31" s="103" t="e">
        <f>VLOOKUP($A31,Stunden!$D:$V,4,FALSE)</f>
        <v>#N/A</v>
      </c>
      <c r="E31" s="103">
        <v>0.5</v>
      </c>
      <c r="F31" s="103" t="e">
        <f t="shared" si="0"/>
        <v>#N/A</v>
      </c>
      <c r="G31" s="103"/>
      <c r="H31" s="103" t="e">
        <f>IF(VLOOKUP($A31,Stunden!$D:$V,17,FALSE)=0,"",VLOOKUP($A31,Stunden!$D:$V,17,FALSE))</f>
        <v>#N/A</v>
      </c>
      <c r="J31" s="104"/>
    </row>
    <row r="32" spans="1:10" s="105" customFormat="1" ht="20.100000000000001" customHeight="1" x14ac:dyDescent="0.25">
      <c r="A32" s="106">
        <f t="shared" si="1"/>
        <v>46372</v>
      </c>
      <c r="B32" s="103" t="e">
        <f>VLOOKUP($A32,Stunden!$D:$V,2,FALSE)</f>
        <v>#N/A</v>
      </c>
      <c r="C32" s="103" t="e">
        <f>VLOOKUP($A32,Stunden!$D:$V,3,FALSE)</f>
        <v>#N/A</v>
      </c>
      <c r="D32" s="103" t="e">
        <f>VLOOKUP($A32,Stunden!$D:$V,4,FALSE)</f>
        <v>#N/A</v>
      </c>
      <c r="E32" s="103">
        <v>0.5</v>
      </c>
      <c r="F32" s="103" t="e">
        <f t="shared" si="0"/>
        <v>#N/A</v>
      </c>
      <c r="G32" s="103"/>
      <c r="H32" s="103" t="e">
        <f>IF(VLOOKUP($A32,Stunden!$D:$V,17,FALSE)=0,"",VLOOKUP($A32,Stunden!$D:$V,17,FALSE))</f>
        <v>#N/A</v>
      </c>
      <c r="J32" s="104"/>
    </row>
    <row r="33" spans="1:10" s="105" customFormat="1" ht="20.100000000000001" customHeight="1" x14ac:dyDescent="0.25">
      <c r="A33" s="106">
        <f t="shared" si="1"/>
        <v>46373</v>
      </c>
      <c r="B33" s="103" t="e">
        <f>VLOOKUP($A33,Stunden!$D:$V,2,FALSE)</f>
        <v>#N/A</v>
      </c>
      <c r="C33" s="103" t="e">
        <f>VLOOKUP($A33,Stunden!$D:$V,3,FALSE)</f>
        <v>#N/A</v>
      </c>
      <c r="D33" s="103" t="e">
        <f>VLOOKUP($A33,Stunden!$D:$V,4,FALSE)</f>
        <v>#N/A</v>
      </c>
      <c r="E33" s="103">
        <v>0.5</v>
      </c>
      <c r="F33" s="103" t="e">
        <f t="shared" si="0"/>
        <v>#N/A</v>
      </c>
      <c r="G33" s="103"/>
      <c r="H33" s="103" t="e">
        <f>IF(VLOOKUP($A33,Stunden!$D:$V,17,FALSE)=0,"",VLOOKUP($A33,Stunden!$D:$V,17,FALSE))</f>
        <v>#N/A</v>
      </c>
      <c r="J33" s="104"/>
    </row>
    <row r="34" spans="1:10" s="105" customFormat="1" ht="20.100000000000001" customHeight="1" x14ac:dyDescent="0.25">
      <c r="A34" s="106">
        <f t="shared" si="1"/>
        <v>46374</v>
      </c>
      <c r="B34" s="103" t="e">
        <f>VLOOKUP($A34,Stunden!$D:$V,2,FALSE)</f>
        <v>#N/A</v>
      </c>
      <c r="C34" s="103" t="e">
        <f>VLOOKUP($A34,Stunden!$D:$V,3,FALSE)</f>
        <v>#N/A</v>
      </c>
      <c r="D34" s="103" t="e">
        <f>VLOOKUP($A34,Stunden!$D:$V,4,FALSE)</f>
        <v>#N/A</v>
      </c>
      <c r="E34" s="103">
        <v>0.5</v>
      </c>
      <c r="F34" s="103" t="e">
        <f t="shared" si="0"/>
        <v>#N/A</v>
      </c>
      <c r="G34" s="103"/>
      <c r="H34" s="103" t="e">
        <f>IF(VLOOKUP($A34,Stunden!$D:$V,17,FALSE)=0,"",VLOOKUP($A34,Stunden!$D:$V,17,FALSE))</f>
        <v>#N/A</v>
      </c>
      <c r="J34" s="104"/>
    </row>
    <row r="35" spans="1:10" s="105" customFormat="1" ht="20.100000000000001" customHeight="1" x14ac:dyDescent="0.25">
      <c r="A35" s="106">
        <f t="shared" si="1"/>
        <v>46375</v>
      </c>
      <c r="B35" s="103" t="e">
        <f>VLOOKUP($A35,Stunden!$D:$V,2,FALSE)</f>
        <v>#N/A</v>
      </c>
      <c r="C35" s="103" t="e">
        <f>VLOOKUP($A35,Stunden!$D:$V,3,FALSE)</f>
        <v>#N/A</v>
      </c>
      <c r="D35" s="103" t="e">
        <f>VLOOKUP($A35,Stunden!$D:$V,4,FALSE)</f>
        <v>#N/A</v>
      </c>
      <c r="E35" s="103">
        <v>0.5</v>
      </c>
      <c r="F35" s="103" t="e">
        <f t="shared" si="0"/>
        <v>#N/A</v>
      </c>
      <c r="G35" s="103"/>
      <c r="H35" s="103" t="e">
        <f>IF(VLOOKUP($A35,Stunden!$D:$V,17,FALSE)=0,"",VLOOKUP($A35,Stunden!$D:$V,17,FALSE))</f>
        <v>#N/A</v>
      </c>
      <c r="J35" s="104"/>
    </row>
    <row r="36" spans="1:10" s="105" customFormat="1" ht="20.100000000000001" customHeight="1" x14ac:dyDescent="0.25">
      <c r="A36" s="106">
        <f t="shared" si="1"/>
        <v>46376</v>
      </c>
      <c r="B36" s="103" t="e">
        <f>VLOOKUP($A36,Stunden!$D:$V,2,FALSE)</f>
        <v>#N/A</v>
      </c>
      <c r="C36" s="103" t="e">
        <f>VLOOKUP($A36,Stunden!$D:$V,3,FALSE)</f>
        <v>#N/A</v>
      </c>
      <c r="D36" s="103" t="e">
        <f>VLOOKUP($A36,Stunden!$D:$V,4,FALSE)</f>
        <v>#N/A</v>
      </c>
      <c r="E36" s="103">
        <v>0.5</v>
      </c>
      <c r="F36" s="103" t="e">
        <f t="shared" si="0"/>
        <v>#N/A</v>
      </c>
      <c r="G36" s="103"/>
      <c r="H36" s="103" t="e">
        <f>IF(VLOOKUP($A36,Stunden!$D:$V,17,FALSE)=0,"",VLOOKUP($A36,Stunden!$D:$V,17,FALSE))</f>
        <v>#N/A</v>
      </c>
      <c r="J36" s="104"/>
    </row>
    <row r="37" spans="1:10" s="105" customFormat="1" ht="20.100000000000001" customHeight="1" x14ac:dyDescent="0.25">
      <c r="A37" s="106">
        <f t="shared" si="1"/>
        <v>46377</v>
      </c>
      <c r="B37" s="103" t="e">
        <f>VLOOKUP($A37,Stunden!$D:$V,2,FALSE)</f>
        <v>#N/A</v>
      </c>
      <c r="C37" s="103" t="e">
        <f>VLOOKUP($A37,Stunden!$D:$V,3,FALSE)</f>
        <v>#N/A</v>
      </c>
      <c r="D37" s="103" t="e">
        <f>VLOOKUP($A37,Stunden!$D:$V,4,FALSE)</f>
        <v>#N/A</v>
      </c>
      <c r="E37" s="103">
        <v>0.5</v>
      </c>
      <c r="F37" s="103" t="e">
        <f t="shared" si="0"/>
        <v>#N/A</v>
      </c>
      <c r="G37" s="103"/>
      <c r="H37" s="103" t="e">
        <f>IF(VLOOKUP($A37,Stunden!$D:$V,17,FALSE)=0,"",VLOOKUP($A37,Stunden!$D:$V,17,FALSE))</f>
        <v>#N/A</v>
      </c>
      <c r="J37" s="104"/>
    </row>
    <row r="38" spans="1:10" s="105" customFormat="1" ht="20.100000000000001" customHeight="1" x14ac:dyDescent="0.25">
      <c r="A38" s="106">
        <f t="shared" si="1"/>
        <v>46378</v>
      </c>
      <c r="B38" s="103" t="e">
        <f>VLOOKUP($A38,Stunden!$D:$V,2,FALSE)</f>
        <v>#N/A</v>
      </c>
      <c r="C38" s="103" t="e">
        <f>VLOOKUP($A38,Stunden!$D:$V,3,FALSE)</f>
        <v>#N/A</v>
      </c>
      <c r="D38" s="103" t="e">
        <f>VLOOKUP($A38,Stunden!$D:$V,4,FALSE)</f>
        <v>#N/A</v>
      </c>
      <c r="E38" s="103">
        <v>0.5</v>
      </c>
      <c r="F38" s="103" t="e">
        <f t="shared" si="0"/>
        <v>#N/A</v>
      </c>
      <c r="G38" s="103"/>
      <c r="H38" s="103" t="e">
        <f>IF(VLOOKUP($A38,Stunden!$D:$V,17,FALSE)=0,"",VLOOKUP($A38,Stunden!$D:$V,17,FALSE))</f>
        <v>#N/A</v>
      </c>
      <c r="J38" s="104"/>
    </row>
    <row r="39" spans="1:10" s="105" customFormat="1" ht="20.100000000000001" customHeight="1" x14ac:dyDescent="0.25">
      <c r="A39" s="106">
        <f t="shared" si="1"/>
        <v>46379</v>
      </c>
      <c r="B39" s="103" t="e">
        <f>VLOOKUP($A39,Stunden!$D:$V,2,FALSE)</f>
        <v>#N/A</v>
      </c>
      <c r="C39" s="103" t="e">
        <f>VLOOKUP($A39,Stunden!$D:$V,3,FALSE)</f>
        <v>#N/A</v>
      </c>
      <c r="D39" s="103" t="e">
        <f>VLOOKUP($A39,Stunden!$D:$V,4,FALSE)</f>
        <v>#N/A</v>
      </c>
      <c r="E39" s="103">
        <v>0.5</v>
      </c>
      <c r="F39" s="103" t="e">
        <f t="shared" si="0"/>
        <v>#N/A</v>
      </c>
      <c r="G39" s="103"/>
      <c r="H39" s="103" t="e">
        <f>IF(VLOOKUP($A39,Stunden!$D:$V,17,FALSE)=0,"",VLOOKUP($A39,Stunden!$D:$V,17,FALSE))</f>
        <v>#N/A</v>
      </c>
      <c r="J39" s="104"/>
    </row>
    <row r="40" spans="1:10" s="105" customFormat="1" ht="20.100000000000001" customHeight="1" x14ac:dyDescent="0.25">
      <c r="A40" s="106">
        <f t="shared" si="1"/>
        <v>46380</v>
      </c>
      <c r="B40" s="103" t="e">
        <f>VLOOKUP($A40,Stunden!$D:$V,2,FALSE)</f>
        <v>#N/A</v>
      </c>
      <c r="C40" s="103" t="e">
        <f>VLOOKUP($A40,Stunden!$D:$V,3,FALSE)</f>
        <v>#N/A</v>
      </c>
      <c r="D40" s="103" t="e">
        <f>VLOOKUP($A40,Stunden!$D:$V,4,FALSE)</f>
        <v>#N/A</v>
      </c>
      <c r="E40" s="103">
        <v>0.5</v>
      </c>
      <c r="F40" s="103" t="e">
        <f t="shared" si="0"/>
        <v>#N/A</v>
      </c>
      <c r="G40" s="103"/>
      <c r="H40" s="103" t="e">
        <f>IF(VLOOKUP($A40,Stunden!$D:$V,17,FALSE)=0,"",VLOOKUP($A40,Stunden!$D:$V,17,FALSE))</f>
        <v>#N/A</v>
      </c>
      <c r="J40" s="104"/>
    </row>
    <row r="41" spans="1:10" s="105" customFormat="1" ht="20.100000000000001" customHeight="1" x14ac:dyDescent="0.25">
      <c r="A41" s="106">
        <f t="shared" si="1"/>
        <v>46381</v>
      </c>
      <c r="B41" s="103" t="e">
        <f>VLOOKUP($A41,Stunden!$D:$V,2,FALSE)</f>
        <v>#N/A</v>
      </c>
      <c r="C41" s="103" t="e">
        <f>VLOOKUP($A41,Stunden!$D:$V,3,FALSE)</f>
        <v>#N/A</v>
      </c>
      <c r="D41" s="103" t="e">
        <f>VLOOKUP($A41,Stunden!$D:$V,4,FALSE)</f>
        <v>#N/A</v>
      </c>
      <c r="E41" s="103">
        <v>0.5</v>
      </c>
      <c r="F41" s="103" t="e">
        <f t="shared" si="0"/>
        <v>#N/A</v>
      </c>
      <c r="G41" s="103"/>
      <c r="H41" s="103" t="e">
        <f>IF(VLOOKUP($A41,Stunden!$D:$V,17,FALSE)=0,"",VLOOKUP($A41,Stunden!$D:$V,17,FALSE))</f>
        <v>#N/A</v>
      </c>
      <c r="J41" s="104"/>
    </row>
    <row r="42" spans="1:10" s="105" customFormat="1" ht="20.100000000000001" customHeight="1" x14ac:dyDescent="0.25">
      <c r="A42" s="106">
        <f t="shared" si="1"/>
        <v>46382</v>
      </c>
      <c r="B42" s="103" t="e">
        <f>VLOOKUP($A42,Stunden!$D:$V,2,FALSE)</f>
        <v>#N/A</v>
      </c>
      <c r="C42" s="103" t="e">
        <f>VLOOKUP($A42,Stunden!$D:$V,3,FALSE)</f>
        <v>#N/A</v>
      </c>
      <c r="D42" s="103" t="e">
        <f>VLOOKUP($A42,Stunden!$D:$V,4,FALSE)</f>
        <v>#N/A</v>
      </c>
      <c r="E42" s="103">
        <v>0.5</v>
      </c>
      <c r="F42" s="103" t="e">
        <f t="shared" si="0"/>
        <v>#N/A</v>
      </c>
      <c r="G42" s="103"/>
      <c r="H42" s="103" t="e">
        <f>IF(VLOOKUP($A42,Stunden!$D:$V,17,FALSE)=0,"",VLOOKUP($A42,Stunden!$D:$V,17,FALSE))</f>
        <v>#N/A</v>
      </c>
      <c r="J42" s="104"/>
    </row>
    <row r="43" spans="1:10" s="105" customFormat="1" ht="20.100000000000001" customHeight="1" x14ac:dyDescent="0.25">
      <c r="A43" s="106">
        <f t="shared" si="1"/>
        <v>46383</v>
      </c>
      <c r="B43" s="103" t="e">
        <f>VLOOKUP($A43,Stunden!$D:$V,2,FALSE)</f>
        <v>#N/A</v>
      </c>
      <c r="C43" s="103" t="e">
        <f>VLOOKUP($A43,Stunden!$D:$V,3,FALSE)</f>
        <v>#N/A</v>
      </c>
      <c r="D43" s="103" t="e">
        <f>VLOOKUP($A43,Stunden!$D:$V,4,FALSE)</f>
        <v>#N/A</v>
      </c>
      <c r="E43" s="103">
        <v>0.5</v>
      </c>
      <c r="F43" s="103" t="e">
        <f t="shared" si="0"/>
        <v>#N/A</v>
      </c>
      <c r="G43" s="103"/>
      <c r="H43" s="103" t="e">
        <f>IF(VLOOKUP($A43,Stunden!$D:$V,17,FALSE)=0,"",VLOOKUP($A43,Stunden!$D:$V,17,FALSE))</f>
        <v>#N/A</v>
      </c>
      <c r="J43" s="104"/>
    </row>
    <row r="44" spans="1:10" s="105" customFormat="1" ht="20.100000000000001" customHeight="1" x14ac:dyDescent="0.25">
      <c r="A44" s="106">
        <f t="shared" si="1"/>
        <v>46384</v>
      </c>
      <c r="B44" s="103" t="e">
        <f>VLOOKUP($A44,Stunden!$D:$V,2,FALSE)</f>
        <v>#N/A</v>
      </c>
      <c r="C44" s="103" t="e">
        <f>VLOOKUP($A44,Stunden!$D:$V,3,FALSE)</f>
        <v>#N/A</v>
      </c>
      <c r="D44" s="103" t="e">
        <f>VLOOKUP($A44,Stunden!$D:$V,4,FALSE)</f>
        <v>#N/A</v>
      </c>
      <c r="E44" s="103">
        <v>0.5</v>
      </c>
      <c r="F44" s="103" t="e">
        <f t="shared" si="0"/>
        <v>#N/A</v>
      </c>
      <c r="G44" s="103"/>
      <c r="H44" s="103" t="e">
        <f>IF(VLOOKUP($A44,Stunden!$D:$V,17,FALSE)=0,"",VLOOKUP($A44,Stunden!$D:$V,17,FALSE))</f>
        <v>#N/A</v>
      </c>
      <c r="J44" s="104"/>
    </row>
    <row r="45" spans="1:10" s="105" customFormat="1" ht="20.100000000000001" customHeight="1" x14ac:dyDescent="0.25">
      <c r="A45" s="106">
        <f t="shared" si="1"/>
        <v>46385</v>
      </c>
      <c r="B45" s="103" t="e">
        <f>VLOOKUP($A45,Stunden!$D:$V,2,FALSE)</f>
        <v>#N/A</v>
      </c>
      <c r="C45" s="103" t="e">
        <f>VLOOKUP($A45,Stunden!$D:$V,3,FALSE)</f>
        <v>#N/A</v>
      </c>
      <c r="D45" s="103" t="e">
        <f>VLOOKUP($A45,Stunden!$D:$V,4,FALSE)</f>
        <v>#N/A</v>
      </c>
      <c r="E45" s="103">
        <v>0.5</v>
      </c>
      <c r="F45" s="103" t="e">
        <f t="shared" si="0"/>
        <v>#N/A</v>
      </c>
      <c r="G45" s="103"/>
      <c r="H45" s="103" t="e">
        <f>IF(VLOOKUP($A45,Stunden!$D:$V,17,FALSE)=0,"",VLOOKUP($A45,Stunden!$D:$V,17,FALSE))</f>
        <v>#N/A</v>
      </c>
      <c r="J45" s="104"/>
    </row>
    <row r="46" spans="1:10" s="105" customFormat="1" ht="20.100000000000001" customHeight="1" x14ac:dyDescent="0.25">
      <c r="A46" s="106">
        <f t="shared" si="1"/>
        <v>46386</v>
      </c>
      <c r="B46" s="103" t="e">
        <f>VLOOKUP($A46,Stunden!$D:$V,2,FALSE)</f>
        <v>#N/A</v>
      </c>
      <c r="C46" s="103" t="e">
        <f>VLOOKUP($A46,Stunden!$D:$V,3,FALSE)</f>
        <v>#N/A</v>
      </c>
      <c r="D46" s="103" t="e">
        <f>VLOOKUP($A46,Stunden!$D:$V,4,FALSE)</f>
        <v>#N/A</v>
      </c>
      <c r="E46" s="103">
        <v>0.5</v>
      </c>
      <c r="F46" s="103" t="e">
        <f t="shared" si="0"/>
        <v>#N/A</v>
      </c>
      <c r="G46" s="103"/>
      <c r="H46" s="103" t="e">
        <f>IF(VLOOKUP($A46,Stunden!$D:$V,17,FALSE)=0,"",VLOOKUP($A46,Stunden!$D:$V,17,FALSE))</f>
        <v>#N/A</v>
      </c>
      <c r="J46" s="104"/>
    </row>
    <row r="47" spans="1:10" s="105" customFormat="1" ht="20.100000000000001" customHeight="1" x14ac:dyDescent="0.25">
      <c r="A47" s="106">
        <f t="shared" si="1"/>
        <v>46387</v>
      </c>
      <c r="B47" s="103" t="e">
        <f>VLOOKUP($A47,Stunden!$D:$V,2,FALSE)</f>
        <v>#N/A</v>
      </c>
      <c r="C47" s="103" t="e">
        <f>VLOOKUP($A47,Stunden!$D:$V,3,FALSE)</f>
        <v>#N/A</v>
      </c>
      <c r="D47" s="103" t="e">
        <f>VLOOKUP($A47,Stunden!$D:$V,4,FALSE)</f>
        <v>#N/A</v>
      </c>
      <c r="E47" s="103">
        <v>0.5</v>
      </c>
      <c r="F47" s="103" t="e">
        <f t="shared" si="0"/>
        <v>#N/A</v>
      </c>
      <c r="G47" s="103"/>
      <c r="H47" s="103" t="e">
        <f>IF(VLOOKUP($A47,Stunden!$D:$V,17,FALSE)=0,"",VLOOKUP($A47,Stunden!$D:$V,17,FALSE))</f>
        <v>#N/A</v>
      </c>
      <c r="J47" s="104"/>
    </row>
    <row r="49" spans="10:10" x14ac:dyDescent="0.2">
      <c r="J49" s="119"/>
    </row>
  </sheetData>
  <mergeCells count="2">
    <mergeCell ref="C6:G6"/>
    <mergeCell ref="C11:G11"/>
  </mergeCells>
  <pageMargins left="0.70866141732283472" right="0.31496062992125984" top="0.39370078740157483" bottom="0.39370078740157483" header="0.31496062992125984" footer="0.31496062992125984"/>
  <pageSetup paperSize="9" orientation="portrait" r:id="rId1"/>
  <headerFooter>
    <oddFooter>&amp;C_x000D_&amp;1#&amp;"Arial"&amp;8&amp;K869197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2</xdr:col>
                    <xdr:colOff>447675</xdr:colOff>
                    <xdr:row>6</xdr:row>
                    <xdr:rowOff>142875</xdr:rowOff>
                  </from>
                  <to>
                    <xdr:col>2</xdr:col>
                    <xdr:colOff>752475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476250</xdr:colOff>
                    <xdr:row>6</xdr:row>
                    <xdr:rowOff>38100</xdr:rowOff>
                  </from>
                  <to>
                    <xdr:col>5</xdr:col>
                    <xdr:colOff>142875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752475</xdr:colOff>
                    <xdr:row>7</xdr:row>
                    <xdr:rowOff>152400</xdr:rowOff>
                  </from>
                  <to>
                    <xdr:col>5</xdr:col>
                    <xdr:colOff>419100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3</xdr:col>
                    <xdr:colOff>47625</xdr:colOff>
                    <xdr:row>7</xdr:row>
                    <xdr:rowOff>152400</xdr:rowOff>
                  </from>
                  <to>
                    <xdr:col>3</xdr:col>
                    <xdr:colOff>485775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3</xdr:col>
                    <xdr:colOff>438150</xdr:colOff>
                    <xdr:row>6</xdr:row>
                    <xdr:rowOff>47625</xdr:rowOff>
                  </from>
                  <to>
                    <xdr:col>4</xdr:col>
                    <xdr:colOff>104775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b405d158-29f7-484e-8e45-cf22582ad8ef}" enabled="1" method="Standard" siteId="{d9fdbcc8-1986-438c-a79e-de0ab2dc66b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13</vt:i4>
      </vt:variant>
    </vt:vector>
  </HeadingPairs>
  <TitlesOfParts>
    <vt:vector size="33" baseType="lpstr">
      <vt:lpstr>Timetable</vt:lpstr>
      <vt:lpstr>mobiles Arbeiten</vt:lpstr>
      <vt:lpstr>TimetableSettings</vt:lpstr>
      <vt:lpstr>Stunden</vt:lpstr>
      <vt:lpstr>Statistik</vt:lpstr>
      <vt:lpstr>TaskNEU</vt:lpstr>
      <vt:lpstr>Planung Abwesenheiten</vt:lpstr>
      <vt:lpstr>pers. Daten</vt:lpstr>
      <vt:lpstr>Januar</vt:lpstr>
      <vt:lpstr>Februar</vt:lpstr>
      <vt:lpstr>April</vt:lpstr>
      <vt:lpstr>März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TaskNEU!DynTask</vt:lpstr>
      <vt:lpstr>April!Print_Area</vt:lpstr>
      <vt:lpstr>August!Print_Area</vt:lpstr>
      <vt:lpstr>Dezember!Print_Area</vt:lpstr>
      <vt:lpstr>Februar!Print_Area</vt:lpstr>
      <vt:lpstr>Januar!Print_Area</vt:lpstr>
      <vt:lpstr>Juli!Print_Area</vt:lpstr>
      <vt:lpstr>Juni!Print_Area</vt:lpstr>
      <vt:lpstr>Mai!Print_Area</vt:lpstr>
      <vt:lpstr>März!Print_Area</vt:lpstr>
      <vt:lpstr>November!Print_Area</vt:lpstr>
      <vt:lpstr>Oktober!Print_Area</vt:lpstr>
      <vt:lpstr>September!Print_Area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Engels, Andreas</dc:creator>
  <cp:lastModifiedBy>Burke, André</cp:lastModifiedBy>
  <cp:lastPrinted>2025-10-21T03:54:11Z</cp:lastPrinted>
  <dcterms:created xsi:type="dcterms:W3CDTF">2021-09-10T06:11:28Z</dcterms:created>
  <dcterms:modified xsi:type="dcterms:W3CDTF">2026-06-10T14:37:15Z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405d158-29f7-484e-8e45-cf22582ad8ef_Enabled">
    <vt:lpwstr>true</vt:lpwstr>
  </property>
  <property fmtid="{D5CDD505-2E9C-101B-9397-08002B2CF9AE}" pid="3" name="MSIP_Label_b405d158-29f7-484e-8e45-cf22582ad8ef_SetDate">
    <vt:lpwstr>2023-01-13T10:07:41Z</vt:lpwstr>
  </property>
  <property fmtid="{D5CDD505-2E9C-101B-9397-08002B2CF9AE}" pid="4" name="MSIP_Label_b405d158-29f7-484e-8e45-cf22582ad8ef_Method">
    <vt:lpwstr>Standard</vt:lpwstr>
  </property>
  <property fmtid="{D5CDD505-2E9C-101B-9397-08002B2CF9AE}" pid="5" name="MSIP_Label_b405d158-29f7-484e-8e45-cf22582ad8ef_Name">
    <vt:lpwstr>b405d158-29f7-484e-8e45-cf22582ad8ef</vt:lpwstr>
  </property>
  <property fmtid="{D5CDD505-2E9C-101B-9397-08002B2CF9AE}" pid="6" name="MSIP_Label_b405d158-29f7-484e-8e45-cf22582ad8ef_SiteId">
    <vt:lpwstr>d9fdbcc8-1986-438c-a79e-de0ab2dc66b2</vt:lpwstr>
  </property>
  <property fmtid="{D5CDD505-2E9C-101B-9397-08002B2CF9AE}" pid="7" name="MSIP_Label_b405d158-29f7-484e-8e45-cf22582ad8ef_ActionId">
    <vt:lpwstr>46e76370-90fa-4d38-8a55-08d32cfa2c84</vt:lpwstr>
  </property>
  <property fmtid="{D5CDD505-2E9C-101B-9397-08002B2CF9AE}" pid="8" name="MSIP_Label_b405d158-29f7-484e-8e45-cf22582ad8ef_ContentBits">
    <vt:lpwstr>2</vt:lpwstr>
  </property>
</Properties>
</file>